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1075" windowHeight="7755"/>
  </bookViews>
  <sheets>
    <sheet name="ArmyList" sheetId="1" r:id="rId1"/>
    <sheet name="variables" sheetId="2" r:id="rId2"/>
    <sheet name="Sheet3" sheetId="3" r:id="rId3"/>
  </sheets>
  <functionGroups builtInGroupCount="17"/>
  <definedNames>
    <definedName name="AdvancedTargetingSystem">variables!$A$57</definedName>
    <definedName name="AirburstingFragmentationProjector">variables!$A$20</definedName>
    <definedName name="AunShi">variables!$A$73</definedName>
    <definedName name="Aunva">variables!$A$71</definedName>
    <definedName name="AutomatedRepairSystem">variables!$A$53</definedName>
    <definedName name="Blacksunfilter">variables!$A$51</definedName>
    <definedName name="BondingknifeForFireWarrior">variables!$A$88</definedName>
    <definedName name="Burstcannon">variables!$A$18</definedName>
    <definedName name="BurstcannonSingleRangedWeapons">variables!$A$18</definedName>
    <definedName name="BurstcannonTwinLinked">variables!$A$19</definedName>
    <definedName name="CommandAndControlNode">variables!$A$34</definedName>
    <definedName name="Commander">variables!$A$79</definedName>
    <definedName name="CommanderFarsight">variables!$A$65</definedName>
    <definedName name="CommanderShadowsun">variables!$A$68</definedName>
    <definedName name="CounterfireDefenceSystem">variables!$A$40</definedName>
    <definedName name="CrisisBattlesuit">variables!$A$13</definedName>
    <definedName name="CrisisShasUi">variables!$A$94</definedName>
    <definedName name="CrisisShasVre">variables!$A$93</definedName>
    <definedName name="CyclicIonBlaster">variables!$A$21</definedName>
    <definedName name="CyclicIonBlasterTwinLinked">variables!$A$24</definedName>
    <definedName name="Darkstrider">variables!$A$75</definedName>
    <definedName name="Darstrider">variables!$A$75</definedName>
    <definedName name="Decoylaunchers">variables!$A$52</definedName>
    <definedName name="DisruptionPod">variables!$A$58</definedName>
    <definedName name="DroneController">variables!$A$45</definedName>
    <definedName name="EarlyWarningOverride">variables!$A$41</definedName>
    <definedName name="EMPgrenadesForFireWarrior">variables!$A$87</definedName>
    <definedName name="Ethereal">variables!$A$77</definedName>
    <definedName name="FailsafeDetonator">variables!$A$32</definedName>
    <definedName name="Farsight">variables!$A$66</definedName>
    <definedName name="FireWarrior">variables!$A$85</definedName>
    <definedName name="FireWarriorShasUiupgrade">variables!$A$84</definedName>
    <definedName name="FireWarriorTeam6xFireWarrior">variables!$A$83</definedName>
    <definedName name="Flamer">variables!$A$16</definedName>
    <definedName name="FlamerSingleRangedWeapons">variables!$A$16</definedName>
    <definedName name="FlamerTau">variables!$A$16</definedName>
    <definedName name="FlamerTwinLinked">variables!$A$17</definedName>
    <definedName name="FlamerTwinLinkedRangedWeapons">variables!$A$17</definedName>
    <definedName name="FlamertwinlinkedTau">variables!$A$17</definedName>
    <definedName name="FlechetteDischarger">variables!$A$55</definedName>
    <definedName name="FusionBlaster">variables!$A$22</definedName>
    <definedName name="FusionBlasterTwinLinked">variables!$A$23</definedName>
    <definedName name="GunDrone">variables!$A$60</definedName>
    <definedName name="HeavyBolterWithHellfireShellsForScoutSquad">variables!$A$108</definedName>
    <definedName name="IonRifleForPathfinderTeam">variables!$A$99</definedName>
    <definedName name="JumpPackForSpaceMarineLibrarian">variables!$A$103</definedName>
    <definedName name="KrootCarnivoreSquad10xKroot">variables!$A$90</definedName>
    <definedName name="MarkerDrone">variables!$A$61</definedName>
    <definedName name="MarkerlightandtargetlockForFireWarriorShasUi">variables!$A$86</definedName>
    <definedName name="MissileDrone">variables!$A$62</definedName>
    <definedName name="MissilePod">variables!$A$25</definedName>
    <definedName name="MissilePodTwinLinked">variables!$A$26</definedName>
    <definedName name="MultiSpectrumSensorSuite">variables!$A$11</definedName>
    <definedName name="MultispecturemSensorSuite">variables!$A$36</definedName>
    <definedName name="NeurowebSystemJammer">variables!$A$30</definedName>
    <definedName name="NullZoneForSpaceMarineLibrarian">variables!$A$105</definedName>
    <definedName name="OnagerGauntlet">variables!$A$31</definedName>
    <definedName name="PathfinderForPathfinderTeam">variables!$A$98</definedName>
    <definedName name="PathfinderTeam4xpathfinder">variables!$A$97</definedName>
    <definedName name="PlasmaRifle">variables!$A$27</definedName>
    <definedName name="PlasmaRifleTwinLinked">variables!$A$28</definedName>
    <definedName name="PointDefenceTargetingRelay">variables!$A$56</definedName>
    <definedName name="PositionalRelay">variables!$A$42</definedName>
    <definedName name="PuretideEngramNeurochip">variables!$A$35</definedName>
    <definedName name="RailRifleForPathfinderTeam">variables!$A$100</definedName>
    <definedName name="RepulsorImpactField">variables!$A$33</definedName>
    <definedName name="ScoutSquad4xMarineScouts1xSqt">variables!$A$107</definedName>
    <definedName name="SensorSpines">variables!$A$54</definedName>
    <definedName name="Shadowsun">variables!$A$69</definedName>
    <definedName name="ShasuiForXV8CrisisTeam">variables!$A$94</definedName>
    <definedName name="ShasVreUpgrade">variables!$A$95</definedName>
    <definedName name="ShasVreUpgradeForXV8CrisisTeam">variables!$A$95</definedName>
    <definedName name="ShieldDrone">variables!$A$63</definedName>
    <definedName name="ShieldGenerator">variables!$A$49</definedName>
    <definedName name="SniperRoundsForKrootRifle">variables!$A$91</definedName>
    <definedName name="SpaceMarineLibrarian">variables!$A$102</definedName>
    <definedName name="StimulantInjector">variables!$A$46</definedName>
    <definedName name="StimulantInjectorRiptide">variables!$A$47</definedName>
    <definedName name="TargetLock">variables!$A$43</definedName>
    <definedName name="TheGateOfInfinityForSpaceMarineLibrarian">variables!$A$104</definedName>
    <definedName name="VectoredRetroThrusters">variables!$A$44</definedName>
    <definedName name="VelocityTracker">variables!$A$48</definedName>
    <definedName name="whName">variables!$A:$A</definedName>
    <definedName name="whNames">variables!$A:$A</definedName>
    <definedName name="whPages">variables!$D:$D</definedName>
    <definedName name="whPrice">variables!$B:$B</definedName>
    <definedName name="XV802CrisisIridiumBattlesuit">variables!$A$37</definedName>
    <definedName name="XV8CrisisBodyGuardTeam">variables!$A$81</definedName>
    <definedName name="XV8CrisisTeam1xShasui">variables!$A$93</definedName>
  </definedNames>
  <calcPr calcId="145621"/>
</workbook>
</file>

<file path=xl/calcChain.xml><?xml version="1.0" encoding="utf-8"?>
<calcChain xmlns="http://schemas.openxmlformats.org/spreadsheetml/2006/main">
  <c r="B53" i="1" l="1"/>
  <c r="D53" i="1" s="1"/>
  <c r="B52" i="1"/>
  <c r="G52" i="1" s="1"/>
  <c r="B49" i="1"/>
  <c r="G49" i="1" s="1"/>
  <c r="B48" i="1"/>
  <c r="D48" i="1" s="1"/>
  <c r="B47" i="1"/>
  <c r="C47" i="1" s="1"/>
  <c r="B44" i="1"/>
  <c r="D44" i="1" s="1"/>
  <c r="B40" i="1"/>
  <c r="D40" i="1" s="1"/>
  <c r="B43" i="1"/>
  <c r="G43" i="1" s="1"/>
  <c r="B39" i="1"/>
  <c r="G39" i="1" s="1"/>
  <c r="B36" i="1"/>
  <c r="G36" i="1" s="1"/>
  <c r="B35" i="1"/>
  <c r="G35" i="1" s="1"/>
  <c r="B32" i="1"/>
  <c r="G32" i="1" s="1"/>
  <c r="B31" i="1"/>
  <c r="D31" i="1" s="1"/>
  <c r="B30" i="1"/>
  <c r="G30" i="1" s="1"/>
  <c r="B29" i="1"/>
  <c r="G29" i="1" s="1"/>
  <c r="G5" i="1"/>
  <c r="G6" i="1"/>
  <c r="G13" i="1"/>
  <c r="G19" i="1"/>
  <c r="G24" i="1"/>
  <c r="G25" i="1"/>
  <c r="G26" i="1"/>
  <c r="G27" i="1"/>
  <c r="G28" i="1"/>
  <c r="G33" i="1"/>
  <c r="G34" i="1"/>
  <c r="G37" i="1"/>
  <c r="G38" i="1"/>
  <c r="G42" i="1"/>
  <c r="G44" i="1"/>
  <c r="G45" i="1"/>
  <c r="G46" i="1"/>
  <c r="G50" i="1"/>
  <c r="G51" i="1"/>
  <c r="G53" i="1"/>
  <c r="G54" i="1"/>
  <c r="G55" i="1"/>
  <c r="G56" i="1"/>
  <c r="G57" i="1"/>
  <c r="G58" i="1"/>
  <c r="G59" i="1"/>
  <c r="G60" i="1"/>
  <c r="G61" i="1"/>
  <c r="G62" i="1"/>
  <c r="G63" i="1"/>
  <c r="G64" i="1"/>
  <c r="B20" i="1"/>
  <c r="G20" i="1" s="1"/>
  <c r="B14" i="1"/>
  <c r="G14" i="1" s="1"/>
  <c r="B8" i="1"/>
  <c r="G8" i="1" s="1"/>
  <c r="B7" i="1"/>
  <c r="G7" i="1" s="1"/>
  <c r="D66" i="2"/>
  <c r="C66" i="2"/>
  <c r="D3" i="1"/>
  <c r="C3" i="1"/>
  <c r="B23" i="1"/>
  <c r="D23" i="1" s="1"/>
  <c r="E23" i="1" s="1"/>
  <c r="B22" i="1"/>
  <c r="D22" i="1" s="1"/>
  <c r="B21" i="1"/>
  <c r="C21" i="1" s="1"/>
  <c r="D5" i="1"/>
  <c r="D6" i="1"/>
  <c r="D13" i="1"/>
  <c r="D19" i="1"/>
  <c r="D24" i="1"/>
  <c r="D25" i="1"/>
  <c r="D26" i="1"/>
  <c r="D27" i="1"/>
  <c r="D28" i="1"/>
  <c r="D33" i="1"/>
  <c r="D34" i="1"/>
  <c r="D37" i="1"/>
  <c r="D38" i="1"/>
  <c r="D42" i="1"/>
  <c r="D45" i="1"/>
  <c r="D46" i="1"/>
  <c r="D50" i="1"/>
  <c r="D51" i="1"/>
  <c r="D52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C33" i="1"/>
  <c r="C34" i="1"/>
  <c r="C37" i="1"/>
  <c r="C38" i="1"/>
  <c r="C42" i="1"/>
  <c r="C45" i="1"/>
  <c r="C46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5" i="1"/>
  <c r="C6" i="1"/>
  <c r="C13" i="1"/>
  <c r="C19" i="1"/>
  <c r="C24" i="1"/>
  <c r="C25" i="1"/>
  <c r="C26" i="1"/>
  <c r="C27" i="1"/>
  <c r="C28" i="1"/>
  <c r="B17" i="1"/>
  <c r="D17" i="1" s="1"/>
  <c r="B16" i="1"/>
  <c r="D16" i="1" s="1"/>
  <c r="B15" i="1"/>
  <c r="D15" i="1" s="1"/>
  <c r="B12" i="1"/>
  <c r="C12" i="1" s="1"/>
  <c r="B11" i="1"/>
  <c r="D11" i="1" s="1"/>
  <c r="B10" i="1"/>
  <c r="C10" i="1" s="1"/>
  <c r="B9" i="1"/>
  <c r="D9" i="1" s="1"/>
  <c r="B4" i="1"/>
  <c r="D4" i="1" s="1"/>
  <c r="B18" i="1"/>
  <c r="D18" i="1" s="1"/>
  <c r="E18" i="1" s="1"/>
  <c r="D30" i="1" l="1"/>
  <c r="D36" i="1"/>
  <c r="C48" i="1"/>
  <c r="E48" i="1" s="1"/>
  <c r="C29" i="1"/>
  <c r="D49" i="1"/>
  <c r="E49" i="1" s="1"/>
  <c r="G40" i="1"/>
  <c r="G48" i="1"/>
  <c r="D35" i="1"/>
  <c r="D29" i="1"/>
  <c r="D47" i="1"/>
  <c r="E47" i="1" s="1"/>
  <c r="G47" i="1"/>
  <c r="C39" i="1"/>
  <c r="C20" i="1"/>
  <c r="D39" i="1"/>
  <c r="C35" i="1"/>
  <c r="C43" i="1"/>
  <c r="D43" i="1"/>
  <c r="E40" i="1"/>
  <c r="D32" i="1"/>
  <c r="E32" i="1" s="1"/>
  <c r="C14" i="1"/>
  <c r="D14" i="1"/>
  <c r="G31" i="1"/>
  <c r="E3" i="1"/>
  <c r="D20" i="1"/>
  <c r="D8" i="1"/>
  <c r="E8" i="1" s="1"/>
  <c r="G17" i="1"/>
  <c r="G22" i="1"/>
  <c r="D7" i="1"/>
  <c r="G21" i="1"/>
  <c r="G16" i="1"/>
  <c r="G11" i="1"/>
  <c r="C31" i="1"/>
  <c r="E31" i="1" s="1"/>
  <c r="E6" i="1"/>
  <c r="G15" i="1"/>
  <c r="E27" i="1"/>
  <c r="E19" i="1"/>
  <c r="E5" i="1"/>
  <c r="G4" i="1"/>
  <c r="G12" i="1"/>
  <c r="G9" i="1"/>
  <c r="G23" i="1"/>
  <c r="G18" i="1"/>
  <c r="G10" i="1"/>
  <c r="D21" i="1"/>
  <c r="E21" i="1" s="1"/>
  <c r="E180" i="1"/>
  <c r="E172" i="1"/>
  <c r="E164" i="1"/>
  <c r="E156" i="1"/>
  <c r="E132" i="1"/>
  <c r="E128" i="1"/>
  <c r="E124" i="1"/>
  <c r="E116" i="1"/>
  <c r="E108" i="1"/>
  <c r="E100" i="1"/>
  <c r="E92" i="1"/>
  <c r="E84" i="1"/>
  <c r="E76" i="1"/>
  <c r="E72" i="1"/>
  <c r="E64" i="1"/>
  <c r="E56" i="1"/>
  <c r="E175" i="1"/>
  <c r="E167" i="1"/>
  <c r="E159" i="1"/>
  <c r="E151" i="1"/>
  <c r="E143" i="1"/>
  <c r="E135" i="1"/>
  <c r="E127" i="1"/>
  <c r="E119" i="1"/>
  <c r="E115" i="1"/>
  <c r="E107" i="1"/>
  <c r="E99" i="1"/>
  <c r="E91" i="1"/>
  <c r="E83" i="1"/>
  <c r="E75" i="1"/>
  <c r="E67" i="1"/>
  <c r="E59" i="1"/>
  <c r="E51" i="1"/>
  <c r="E178" i="1"/>
  <c r="E174" i="1"/>
  <c r="E170" i="1"/>
  <c r="E166" i="1"/>
  <c r="E162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E50" i="1"/>
  <c r="E46" i="1"/>
  <c r="E42" i="1"/>
  <c r="E37" i="1"/>
  <c r="E33" i="1"/>
  <c r="E25" i="1"/>
  <c r="E176" i="1"/>
  <c r="E168" i="1"/>
  <c r="E160" i="1"/>
  <c r="E152" i="1"/>
  <c r="E148" i="1"/>
  <c r="E144" i="1"/>
  <c r="E140" i="1"/>
  <c r="E136" i="1"/>
  <c r="E120" i="1"/>
  <c r="E112" i="1"/>
  <c r="E104" i="1"/>
  <c r="E96" i="1"/>
  <c r="E88" i="1"/>
  <c r="E80" i="1"/>
  <c r="E68" i="1"/>
  <c r="E60" i="1"/>
  <c r="E52" i="1"/>
  <c r="E44" i="1"/>
  <c r="E35" i="1"/>
  <c r="E179" i="1"/>
  <c r="E171" i="1"/>
  <c r="E163" i="1"/>
  <c r="E155" i="1"/>
  <c r="E147" i="1"/>
  <c r="E139" i="1"/>
  <c r="E131" i="1"/>
  <c r="E123" i="1"/>
  <c r="E111" i="1"/>
  <c r="E103" i="1"/>
  <c r="E95" i="1"/>
  <c r="E87" i="1"/>
  <c r="E79" i="1"/>
  <c r="E71" i="1"/>
  <c r="E63" i="1"/>
  <c r="E55" i="1"/>
  <c r="E38" i="1"/>
  <c r="E34" i="1"/>
  <c r="E30" i="1"/>
  <c r="E177" i="1"/>
  <c r="E173" i="1"/>
  <c r="E169" i="1"/>
  <c r="E165" i="1"/>
  <c r="E161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5" i="1"/>
  <c r="E36" i="1"/>
  <c r="E28" i="1"/>
  <c r="E24" i="1"/>
  <c r="E13" i="1"/>
  <c r="C9" i="1"/>
  <c r="E9" i="1" s="1"/>
  <c r="C22" i="1"/>
  <c r="E22" i="1" s="1"/>
  <c r="C16" i="1"/>
  <c r="E16" i="1" s="1"/>
  <c r="D10" i="1"/>
  <c r="E10" i="1" s="1"/>
  <c r="E26" i="1"/>
  <c r="C17" i="1"/>
  <c r="E17" i="1" s="1"/>
  <c r="C4" i="1"/>
  <c r="E4" i="1" s="1"/>
  <c r="C7" i="1"/>
  <c r="D12" i="1"/>
  <c r="E12" i="1" s="1"/>
  <c r="C15" i="1"/>
  <c r="E15" i="1" s="1"/>
  <c r="C11" i="1"/>
  <c r="E11" i="1" s="1"/>
  <c r="E39" i="1" l="1"/>
  <c r="E43" i="1"/>
  <c r="E29" i="1"/>
  <c r="E20" i="1"/>
  <c r="E7" i="1"/>
  <c r="E14" i="1"/>
  <c r="F1" i="1" l="1"/>
</calcChain>
</file>

<file path=xl/sharedStrings.xml><?xml version="1.0" encoding="utf-8"?>
<sst xmlns="http://schemas.openxmlformats.org/spreadsheetml/2006/main" count="182" uniqueCount="98">
  <si>
    <t>#</t>
  </si>
  <si>
    <t>price</t>
  </si>
  <si>
    <t>total</t>
  </si>
  <si>
    <t>HQ Commander Farsight</t>
  </si>
  <si>
    <t>whName</t>
  </si>
  <si>
    <t>whPrice</t>
  </si>
  <si>
    <t>Commander Farsight</t>
  </si>
  <si>
    <t>Elite Crisis Team</t>
  </si>
  <si>
    <t>Neuroweb System Jammer</t>
  </si>
  <si>
    <t>Command and Control Node</t>
  </si>
  <si>
    <t>Multi-Spectrum Sensor Suite</t>
  </si>
  <si>
    <t>Missile Drone</t>
  </si>
  <si>
    <t>Crisis Battlesuit</t>
  </si>
  <si>
    <t>Plasma rifle</t>
  </si>
  <si>
    <t>Shield Generator</t>
  </si>
  <si>
    <t>Airbursting Fragmentation Projector</t>
  </si>
  <si>
    <t>Cyclic Ion Blaster</t>
  </si>
  <si>
    <t>Missile Pod</t>
  </si>
  <si>
    <t>Plasma Rifle</t>
  </si>
  <si>
    <t>Onager Gauntlet</t>
  </si>
  <si>
    <t>Failsafe Detonator</t>
  </si>
  <si>
    <t>Repulsor Impact Field</t>
  </si>
  <si>
    <t>Command And Control Node</t>
  </si>
  <si>
    <t>Tau</t>
  </si>
  <si>
    <t>Puretide Engram Neurochip</t>
  </si>
  <si>
    <t>Multi-specturem Sensor Suite</t>
  </si>
  <si>
    <t>XV8-02 Crisis 'Iridium' Battlesuit</t>
  </si>
  <si>
    <t>Advanced Targeting System</t>
  </si>
  <si>
    <t>Counterfire Defence System</t>
  </si>
  <si>
    <t>Early Warning Override</t>
  </si>
  <si>
    <t>Positional Relay</t>
  </si>
  <si>
    <t>Target Lock</t>
  </si>
  <si>
    <t>Vectored Retro Thrusters</t>
  </si>
  <si>
    <t>Drone Controller</t>
  </si>
  <si>
    <t>Stimulant Injector</t>
  </si>
  <si>
    <t>Stimulant Injector (Riptide)</t>
  </si>
  <si>
    <t>Velocity Tracker</t>
  </si>
  <si>
    <t>Blacksun filter</t>
  </si>
  <si>
    <t>Decoy launchers</t>
  </si>
  <si>
    <t>Automated Repair System</t>
  </si>
  <si>
    <t>Sensor Spines</t>
  </si>
  <si>
    <t>Flechette Discharger</t>
  </si>
  <si>
    <t>Point Defence Targeting Relay</t>
  </si>
  <si>
    <t>Disruption Pod</t>
  </si>
  <si>
    <t>Gun Drone</t>
  </si>
  <si>
    <t>Marker Drone</t>
  </si>
  <si>
    <t>Shield Drone</t>
  </si>
  <si>
    <t>Fusion Blaster</t>
  </si>
  <si>
    <t>Burst cannon (Twin-Linked)</t>
  </si>
  <si>
    <t>Cyclic Ion Blaster (Twin-Linked)</t>
  </si>
  <si>
    <t>Missile Pod (Twin-Linked)</t>
  </si>
  <si>
    <t>Plasma Rifle (Twin-Linked)</t>
  </si>
  <si>
    <t>Fusion Blaster (Twin-Linked)</t>
  </si>
  <si>
    <t>darkstrider</t>
  </si>
  <si>
    <t>Farsight</t>
  </si>
  <si>
    <t>Commander Shadowsun</t>
  </si>
  <si>
    <t>Shadowsun</t>
  </si>
  <si>
    <t>Aun'va</t>
  </si>
  <si>
    <t>Aun'Shi</t>
  </si>
  <si>
    <t>Ethereal</t>
  </si>
  <si>
    <t>Commander</t>
  </si>
  <si>
    <t>XV8 Crisis BodyGuard Team</t>
  </si>
  <si>
    <t>Darkstrider</t>
  </si>
  <si>
    <t>page</t>
  </si>
  <si>
    <t>Fire Warrior Team (6 x Fire Warrior)</t>
  </si>
  <si>
    <t>Fire Warrior Shas'Ui (upgrade)</t>
  </si>
  <si>
    <t>Fire Warrior</t>
  </si>
  <si>
    <t>Markerlight and target lock (For Fire Warrior Shas'Ui)</t>
  </si>
  <si>
    <t>EMP grenades (For Fire Warrior)</t>
  </si>
  <si>
    <t>Bonding knife (For Fire Warrior)</t>
  </si>
  <si>
    <t>Kroot Carnivore Squad (10 x Kroot)</t>
  </si>
  <si>
    <t>Flamer (Single, Ranged Weapons)</t>
  </si>
  <si>
    <t>Flamer (Twin-Linked, Ranged Weapons)</t>
  </si>
  <si>
    <t>Burst cannon (Single, Ranged Weapons)</t>
  </si>
  <si>
    <t>XV8 Crisis Team (1 x Shas'ui)</t>
  </si>
  <si>
    <t>Shas'ui (For XV8 Crisis Team)</t>
  </si>
  <si>
    <t>Shas'Vre (Upgrade For XV8 Crisis Team)</t>
  </si>
  <si>
    <t>Pathfinder Team (4 x pathfinder)</t>
  </si>
  <si>
    <t>Pathfinder (For Pathfinder Team)</t>
  </si>
  <si>
    <t>Ion Rifle (For Pathfinder Team)</t>
  </si>
  <si>
    <t>Rail Rifle (For Pathfinder Team)</t>
  </si>
  <si>
    <t>Sniper Rounds (For Kroot Rifle)</t>
  </si>
  <si>
    <t>Allies HQ: Farsight dedicated librarian</t>
  </si>
  <si>
    <t>Space Marine Librarian</t>
  </si>
  <si>
    <t>Space Marines</t>
  </si>
  <si>
    <t>Jump Pack (For Space Marine Librarian)</t>
  </si>
  <si>
    <t>Null Zone (For Space Marine Librarian)</t>
  </si>
  <si>
    <t>The Gate Of Infinity (For Space Marine Librarian)</t>
  </si>
  <si>
    <t>Scout Squad (4 x Marine Scouts, 1 x Sqt)</t>
  </si>
  <si>
    <t>Heavy Bolter With Hellfire Shells (For Scout Squad)</t>
  </si>
  <si>
    <t>Allies Troop: Hellfire Scouts</t>
  </si>
  <si>
    <t>Fast Attack: Shooter Pathfinders</t>
  </si>
  <si>
    <t>Fast Attack: Marker Pathfinders</t>
  </si>
  <si>
    <t>Troops: Konga Snipers A</t>
  </si>
  <si>
    <t>Troops: Konga Snipers B</t>
  </si>
  <si>
    <t>HQ Darkstrider with shooter pathfinders</t>
  </si>
  <si>
    <t>whPages</t>
  </si>
  <si>
    <t>whArmy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</si>
</sst>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762000</xdr:colOff>
          <xdr:row>0</xdr:row>
          <xdr:rowOff>190500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List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36"/>
  <sheetViews>
    <sheetView tabSelected="1" workbookViewId="0">
      <pane ySplit="1" topLeftCell="A20" activePane="bottomLeft" state="frozen"/>
      <selection pane="bottomLeft" activeCell="D4" sqref="D4"/>
    </sheetView>
  </sheetViews>
  <sheetFormatPr defaultRowHeight="15" x14ac:dyDescent="0.25"/>
  <cols>
    <col min="1" max="1" width="5.85546875" style="1" customWidth="1"/>
    <col min="2" max="2" width="38.42578125" customWidth="1"/>
    <col min="3" max="3" width="2.7109375" customWidth="1"/>
    <col min="4" max="4" width="5.85546875" customWidth="1"/>
    <col min="5" max="5" width="8.7109375" style="1" customWidth="1"/>
    <col min="6" max="6" width="7.5703125" customWidth="1"/>
    <col min="8" max="8" width="11.5703125" customWidth="1"/>
    <col min="10" max="10" width="22.7109375" customWidth="1"/>
  </cols>
  <sheetData>
    <row r="1" spans="1:7" ht="26.25" x14ac:dyDescent="0.4">
      <c r="B1" s="2"/>
      <c r="C1" s="2"/>
      <c r="D1" s="2"/>
      <c r="E1" s="3" t="s">
        <v>2</v>
      </c>
      <c r="F1" s="3">
        <f>SUM(E:E)</f>
        <v>999</v>
      </c>
      <c r="G1" s="2"/>
    </row>
    <row r="2" spans="1:7" x14ac:dyDescent="0.25">
      <c r="C2" s="1" t="s">
        <v>0</v>
      </c>
      <c r="D2" s="1" t="s">
        <v>1</v>
      </c>
      <c r="E2" s="1" t="s">
        <v>2</v>
      </c>
      <c r="F2" s="1"/>
      <c r="G2" s="1" t="s">
        <v>63</v>
      </c>
    </row>
    <row r="3" spans="1:7" x14ac:dyDescent="0.25">
      <c r="A3" s="1" t="s">
        <v>3</v>
      </c>
      <c r="C3" t="str">
        <f t="shared" ref="C2:C3" si="0">IF(ISBLANK(B3),"",1)</f>
        <v/>
      </c>
      <c r="D3" t="str">
        <f>IF(ISERROR(INDEX(whPrice,MATCH(B3,whName,0))),"",INDEX(whPrice,MATCH(B3,whName,0)))</f>
        <v/>
      </c>
      <c r="E3" s="1" t="str">
        <f t="shared" ref="E2:E3" si="1">IF(ISERROR(C3*D3),"",C3*D3)</f>
        <v/>
      </c>
    </row>
    <row r="4" spans="1:7" x14ac:dyDescent="0.25">
      <c r="B4" t="str">
        <f>Farsight</f>
        <v>Farsight</v>
      </c>
      <c r="C4">
        <f>IF(ISBLANK(B4),"",1)</f>
        <v>1</v>
      </c>
      <c r="D4">
        <f>IF(ISERROR(INDEX(whPrice,MATCH(B4,whName,0))),"",INDEX(whPrice,MATCH(B4,whName,0)))</f>
        <v>165</v>
      </c>
      <c r="E4" s="1">
        <f>IF(ISERROR(C4*D4),"",C4*D4)</f>
        <v>165</v>
      </c>
      <c r="G4">
        <f>IF(ISERROR(INDEX(whPages,MATCH(B4,whName,0))),"",INDEX(whPages,MATCH(B4,whName,0)))</f>
        <v>57</v>
      </c>
    </row>
    <row r="5" spans="1:7" x14ac:dyDescent="0.25">
      <c r="C5" t="str">
        <f t="shared" ref="C5:C62" si="2">IF(ISBLANK(B5),"",1)</f>
        <v/>
      </c>
      <c r="D5" t="str">
        <f>IF(ISERROR(INDEX(whPrice,MATCH(B5,whName,0))),"",INDEX(whPrice,MATCH(B5,whName,0)))</f>
        <v/>
      </c>
      <c r="E5" s="1" t="str">
        <f t="shared" ref="E5:E62" si="3">IF(ISERROR(C5*D5),"",C5*D5)</f>
        <v/>
      </c>
      <c r="G5" t="str">
        <f>IF(ISERROR(INDEX(whPages,MATCH(B5,whName,0))),"",INDEX(whPages,MATCH(B5,whName,0)))</f>
        <v/>
      </c>
    </row>
    <row r="6" spans="1:7" x14ac:dyDescent="0.25">
      <c r="A6" s="1" t="s">
        <v>7</v>
      </c>
      <c r="C6" t="str">
        <f t="shared" si="2"/>
        <v/>
      </c>
      <c r="D6" t="str">
        <f>IF(ISERROR(INDEX(whPrice,MATCH(B6,whName,0))),"",INDEX(whPrice,MATCH(B6,whName,0)))</f>
        <v/>
      </c>
      <c r="E6" s="1" t="str">
        <f t="shared" si="3"/>
        <v/>
      </c>
      <c r="G6" t="str">
        <f>IF(ISERROR(INDEX(whPages,MATCH(B6,whName,0))),"",INDEX(whPages,MATCH(B6,whName,0)))</f>
        <v/>
      </c>
    </row>
    <row r="7" spans="1:7" x14ac:dyDescent="0.25">
      <c r="B7" t="str">
        <f>XV8CrisisTeam1xShasui</f>
        <v>XV8 Crisis Team (1 x Shas'ui)</v>
      </c>
      <c r="C7">
        <f t="shared" si="2"/>
        <v>1</v>
      </c>
      <c r="D7">
        <f>IF(ISERROR(INDEX(whPrice,MATCH(B7,whName,0))),"",INDEX(whPrice,MATCH(B7,whName,0)))</f>
        <v>22</v>
      </c>
      <c r="E7" s="1">
        <f t="shared" si="3"/>
        <v>22</v>
      </c>
      <c r="G7">
        <f>IF(ISERROR(INDEX(whPages,MATCH(B7,whName,0))),"",INDEX(whPages,MATCH(B7,whName,0)))</f>
        <v>41</v>
      </c>
    </row>
    <row r="8" spans="1:7" x14ac:dyDescent="0.25">
      <c r="B8" t="str">
        <f>ShasVreUpgradeForXV8CrisisTeam</f>
        <v>Shas'Vre (Upgrade For XV8 Crisis Team)</v>
      </c>
      <c r="C8">
        <v>1</v>
      </c>
      <c r="D8">
        <f>IF(ISERROR(INDEX(whPrice,MATCH(B8,whName,0))),"",INDEX(whPrice,MATCH(B8,whName,0)))</f>
        <v>10</v>
      </c>
      <c r="E8" s="1">
        <f t="shared" si="3"/>
        <v>10</v>
      </c>
      <c r="G8">
        <f>IF(ISERROR(INDEX(whPages,MATCH(B8,whName,0))),"",INDEX(whPages,MATCH(B8,whName,0)))</f>
        <v>41</v>
      </c>
    </row>
    <row r="9" spans="1:7" x14ac:dyDescent="0.25">
      <c r="B9" t="str">
        <f>NeurowebSystemJammer</f>
        <v>Neuroweb System Jammer</v>
      </c>
      <c r="C9">
        <f t="shared" si="2"/>
        <v>1</v>
      </c>
      <c r="D9">
        <f>IF(ISERROR(INDEX(whPrice,MATCH(B9,whName,0))),"",INDEX(whPrice,MATCH(B9,whName,0)))</f>
        <v>2</v>
      </c>
      <c r="E9" s="1">
        <f t="shared" si="3"/>
        <v>2</v>
      </c>
      <c r="G9">
        <f>IF(ISERROR(INDEX(whPages,MATCH(B9,whName,0))),"",INDEX(whPages,MATCH(B9,whName,0)))</f>
        <v>65</v>
      </c>
    </row>
    <row r="10" spans="1:7" x14ac:dyDescent="0.25">
      <c r="B10" t="str">
        <f>CommandAndControlNode</f>
        <v>Command And Control Node</v>
      </c>
      <c r="C10">
        <f t="shared" si="2"/>
        <v>1</v>
      </c>
      <c r="D10">
        <f>IF(ISERROR(INDEX(whPrice,MATCH(B10,whName,0))),"",INDEX(whPrice,MATCH(B10,whName,0)))</f>
        <v>15</v>
      </c>
      <c r="E10" s="1">
        <f t="shared" si="3"/>
        <v>15</v>
      </c>
      <c r="G10">
        <f>IF(ISERROR(INDEX(whPages,MATCH(B10,whName,0))),"",INDEX(whPages,MATCH(B10,whName,0)))</f>
        <v>65</v>
      </c>
    </row>
    <row r="11" spans="1:7" x14ac:dyDescent="0.25">
      <c r="B11" t="str">
        <f>MultiSpectrumSensorSuite</f>
        <v>Multi-Spectrum Sensor Suite</v>
      </c>
      <c r="C11">
        <f t="shared" si="2"/>
        <v>1</v>
      </c>
      <c r="D11">
        <f>IF(ISERROR(INDEX(whPrice,MATCH(B11,whName,0))),"",INDEX(whPrice,MATCH(B11,whName,0)))</f>
        <v>20</v>
      </c>
      <c r="E11" s="1">
        <f t="shared" si="3"/>
        <v>20</v>
      </c>
      <c r="G11">
        <f>IF(ISERROR(INDEX(whPages,MATCH(B11,whName,0))),"",INDEX(whPages,MATCH(B11,whName,0)))</f>
        <v>65</v>
      </c>
    </row>
    <row r="12" spans="1:7" x14ac:dyDescent="0.25">
      <c r="B12" t="str">
        <f>MissileDrone</f>
        <v>Missile Drone</v>
      </c>
      <c r="C12">
        <f t="shared" si="2"/>
        <v>1</v>
      </c>
      <c r="D12">
        <f>IF(ISERROR(INDEX(whPrice,MATCH(B12,whName,0))),"",INDEX(whPrice,MATCH(B12,whName,0)))</f>
        <v>12</v>
      </c>
      <c r="E12" s="1">
        <f t="shared" si="3"/>
        <v>12</v>
      </c>
      <c r="G12">
        <f>IF(ISERROR(INDEX(whPages,MATCH(B12,whName,0))),"",INDEX(whPages,MATCH(B12,whName,0)))</f>
        <v>65</v>
      </c>
    </row>
    <row r="13" spans="1:7" x14ac:dyDescent="0.25">
      <c r="C13" t="str">
        <f t="shared" si="2"/>
        <v/>
      </c>
      <c r="D13" t="str">
        <f>IF(ISERROR(INDEX(whPrice,MATCH(B13,whName,0))),"",INDEX(whPrice,MATCH(B13,whName,0)))</f>
        <v/>
      </c>
      <c r="E13" s="1" t="str">
        <f t="shared" si="3"/>
        <v/>
      </c>
      <c r="G13" t="str">
        <f>IF(ISERROR(INDEX(whPages,MATCH(B13,whName,0))),"",INDEX(whPages,MATCH(B13,whName,0)))</f>
        <v/>
      </c>
    </row>
    <row r="14" spans="1:7" x14ac:dyDescent="0.25">
      <c r="B14" t="str">
        <f>ShasuiForXV8CrisisTeam</f>
        <v>Shas'ui (For XV8 Crisis Team)</v>
      </c>
      <c r="C14">
        <f t="shared" si="2"/>
        <v>1</v>
      </c>
      <c r="D14">
        <f>IF(ISERROR(INDEX(whPrice,MATCH(B14,whName,0))),"",INDEX(whPrice,MATCH(B14,whName,0)))</f>
        <v>22</v>
      </c>
      <c r="E14" s="1">
        <f t="shared" si="3"/>
        <v>22</v>
      </c>
      <c r="G14">
        <f>IF(ISERROR(INDEX(whPages,MATCH(B14,whName,0))),"",INDEX(whPages,MATCH(B14,whName,0)))</f>
        <v>41</v>
      </c>
    </row>
    <row r="15" spans="1:7" x14ac:dyDescent="0.25">
      <c r="B15" t="str">
        <f>FusionBlaster</f>
        <v>Fusion Blaster</v>
      </c>
      <c r="C15">
        <f t="shared" si="2"/>
        <v>1</v>
      </c>
      <c r="D15">
        <f>IF(ISERROR(INDEX(whPrice,MATCH(B15,whName,0))),"",INDEX(whPrice,MATCH(B15,whName,0)))</f>
        <v>15</v>
      </c>
      <c r="E15" s="1">
        <f t="shared" si="3"/>
        <v>15</v>
      </c>
      <c r="G15">
        <f>IF(ISERROR(INDEX(whPages,MATCH(B15,whName,0))),"",INDEX(whPages,MATCH(B15,whName,0)))</f>
        <v>65</v>
      </c>
    </row>
    <row r="16" spans="1:7" x14ac:dyDescent="0.25">
      <c r="B16" t="str">
        <f>TargetLock</f>
        <v>Target Lock</v>
      </c>
      <c r="C16">
        <f t="shared" si="2"/>
        <v>1</v>
      </c>
      <c r="D16">
        <f>IF(ISERROR(INDEX(whPrice,MATCH(B16,whName,0))),"",INDEX(whPrice,MATCH(B16,whName,0)))</f>
        <v>5</v>
      </c>
      <c r="E16" s="1">
        <f t="shared" si="3"/>
        <v>5</v>
      </c>
      <c r="G16">
        <f>IF(ISERROR(INDEX(whPages,MATCH(B16,whName,0))),"",INDEX(whPages,MATCH(B16,whName,0)))</f>
        <v>68</v>
      </c>
    </row>
    <row r="17" spans="1:7" x14ac:dyDescent="0.25">
      <c r="B17" t="str">
        <f>DroneController</f>
        <v>Drone Controller</v>
      </c>
      <c r="C17">
        <f t="shared" si="2"/>
        <v>1</v>
      </c>
      <c r="D17">
        <f>IF(ISERROR(INDEX(whPrice,MATCH(B17,whName,0))),"",INDEX(whPrice,MATCH(B17,whName,0)))</f>
        <v>8</v>
      </c>
      <c r="E17" s="1">
        <f t="shared" si="3"/>
        <v>8</v>
      </c>
      <c r="G17">
        <f>IF(ISERROR(INDEX(whPages,MATCH(B17,whName,0))),"",INDEX(whPages,MATCH(B17,whName,0)))</f>
        <v>68</v>
      </c>
    </row>
    <row r="18" spans="1:7" x14ac:dyDescent="0.25">
      <c r="B18" t="str">
        <f>MissileDrone</f>
        <v>Missile Drone</v>
      </c>
      <c r="C18">
        <v>2</v>
      </c>
      <c r="D18">
        <f>IF(ISERROR(INDEX(whPrice,MATCH(B18,whName,0))),"",INDEX(whPrice,MATCH(B18,whName,0)))</f>
        <v>12</v>
      </c>
      <c r="E18" s="1">
        <f t="shared" si="3"/>
        <v>24</v>
      </c>
      <c r="G18">
        <f>IF(ISERROR(INDEX(whPages,MATCH(B18,whName,0))),"",INDEX(whPages,MATCH(B18,whName,0)))</f>
        <v>65</v>
      </c>
    </row>
    <row r="19" spans="1:7" x14ac:dyDescent="0.25">
      <c r="C19" t="str">
        <f t="shared" si="2"/>
        <v/>
      </c>
      <c r="D19" t="str">
        <f>IF(ISERROR(INDEX(whPrice,MATCH(B19,whName,0))),"",INDEX(whPrice,MATCH(B19,whName,0)))</f>
        <v/>
      </c>
      <c r="E19" s="1" t="str">
        <f t="shared" si="3"/>
        <v/>
      </c>
      <c r="G19" t="str">
        <f>IF(ISERROR(INDEX(whPages,MATCH(B19,whName,0))),"",INDEX(whPages,MATCH(B19,whName,0)))</f>
        <v/>
      </c>
    </row>
    <row r="20" spans="1:7" x14ac:dyDescent="0.25">
      <c r="B20" t="str">
        <f>ShasuiForXV8CrisisTeam</f>
        <v>Shas'ui (For XV8 Crisis Team)</v>
      </c>
      <c r="C20">
        <f t="shared" si="2"/>
        <v>1</v>
      </c>
      <c r="D20">
        <f>IF(ISERROR(INDEX(whPrice,MATCH(B20,whName,0))),"",INDEX(whPrice,MATCH(B20,whName,0)))</f>
        <v>22</v>
      </c>
      <c r="E20" s="1">
        <f t="shared" si="3"/>
        <v>22</v>
      </c>
      <c r="G20">
        <f>IF(ISERROR(INDEX(whPages,MATCH(B20,whName,0))),"",INDEX(whPages,MATCH(B20,whName,0)))</f>
        <v>41</v>
      </c>
    </row>
    <row r="21" spans="1:7" x14ac:dyDescent="0.25">
      <c r="B21" t="str">
        <f>FusionBlaster</f>
        <v>Fusion Blaster</v>
      </c>
      <c r="C21">
        <f t="shared" si="2"/>
        <v>1</v>
      </c>
      <c r="D21">
        <f>IF(ISERROR(INDEX(whPrice,MATCH(B21,whName,0))),"",INDEX(whPrice,MATCH(B21,whName,0)))</f>
        <v>15</v>
      </c>
      <c r="E21" s="1">
        <f t="shared" si="3"/>
        <v>15</v>
      </c>
      <c r="G21">
        <f>IF(ISERROR(INDEX(whPages,MATCH(B21,whName,0))),"",INDEX(whPages,MATCH(B21,whName,0)))</f>
        <v>65</v>
      </c>
    </row>
    <row r="22" spans="1:7" x14ac:dyDescent="0.25">
      <c r="B22" t="str">
        <f>DroneController</f>
        <v>Drone Controller</v>
      </c>
      <c r="C22">
        <f t="shared" si="2"/>
        <v>1</v>
      </c>
      <c r="D22">
        <f>IF(ISERROR(INDEX(whPrice,MATCH(B22,whName,0))),"",INDEX(whPrice,MATCH(B22,whName,0)))</f>
        <v>8</v>
      </c>
      <c r="E22" s="1">
        <f t="shared" si="3"/>
        <v>8</v>
      </c>
      <c r="G22">
        <f>IF(ISERROR(INDEX(whPages,MATCH(B22,whName,0))),"",INDEX(whPages,MATCH(B22,whName,0)))</f>
        <v>68</v>
      </c>
    </row>
    <row r="23" spans="1:7" x14ac:dyDescent="0.25">
      <c r="B23" t="str">
        <f>MissileDrone</f>
        <v>Missile Drone</v>
      </c>
      <c r="C23">
        <v>2</v>
      </c>
      <c r="D23">
        <f>IF(ISERROR(INDEX(whPrice,MATCH(B23,whName,0))),"",INDEX(whPrice,MATCH(B23,whName,0)))</f>
        <v>12</v>
      </c>
      <c r="E23" s="1">
        <f t="shared" si="3"/>
        <v>24</v>
      </c>
      <c r="G23">
        <f>IF(ISERROR(INDEX(whPages,MATCH(B23,whName,0))),"",INDEX(whPages,MATCH(B23,whName,0)))</f>
        <v>65</v>
      </c>
    </row>
    <row r="24" spans="1:7" x14ac:dyDescent="0.25">
      <c r="C24" t="str">
        <f t="shared" si="2"/>
        <v/>
      </c>
      <c r="D24" t="str">
        <f>IF(ISERROR(INDEX(whPrice,MATCH(B24,whName,0))),"",INDEX(whPrice,MATCH(B24,whName,0)))</f>
        <v/>
      </c>
      <c r="E24" s="1" t="str">
        <f t="shared" si="3"/>
        <v/>
      </c>
      <c r="G24" t="str">
        <f>IF(ISERROR(INDEX(whPages,MATCH(B24,whName,0))),"",INDEX(whPages,MATCH(B24,whName,0)))</f>
        <v/>
      </c>
    </row>
    <row r="25" spans="1:7" x14ac:dyDescent="0.25">
      <c r="A25" s="1" t="s">
        <v>95</v>
      </c>
      <c r="C25" t="str">
        <f t="shared" si="2"/>
        <v/>
      </c>
      <c r="D25" t="str">
        <f>IF(ISERROR(INDEX(whPrice,MATCH(B25,whName,0))),"",INDEX(whPrice,MATCH(B25,whName,0)))</f>
        <v/>
      </c>
      <c r="E25" s="1" t="str">
        <f t="shared" si="3"/>
        <v/>
      </c>
      <c r="G25" t="str">
        <f>IF(ISERROR(INDEX(whPages,MATCH(B25,whName,0))),"",INDEX(whPages,MATCH(B25,whName,0)))</f>
        <v/>
      </c>
    </row>
    <row r="26" spans="1:7" x14ac:dyDescent="0.25">
      <c r="B26" t="s">
        <v>53</v>
      </c>
      <c r="C26">
        <f t="shared" si="2"/>
        <v>1</v>
      </c>
      <c r="D26">
        <f>IF(ISERROR(INDEX(whPrice,MATCH(B26,whName,0))),"",INDEX(whPrice,MATCH(B26,whName,0)))</f>
        <v>100</v>
      </c>
      <c r="E26" s="1">
        <f t="shared" si="3"/>
        <v>100</v>
      </c>
      <c r="G26">
        <f>IF(ISERROR(INDEX(whPages,MATCH(B26,whName,0))),"",INDEX(whPages,MATCH(B26,whName,0)))</f>
        <v>63</v>
      </c>
    </row>
    <row r="27" spans="1:7" x14ac:dyDescent="0.25">
      <c r="C27" t="str">
        <f t="shared" si="2"/>
        <v/>
      </c>
      <c r="D27" t="str">
        <f>IF(ISERROR(INDEX(whPrice,MATCH(B27,whName,0))),"",INDEX(whPrice,MATCH(B27,whName,0)))</f>
        <v/>
      </c>
      <c r="E27" s="1" t="str">
        <f t="shared" si="3"/>
        <v/>
      </c>
      <c r="G27" t="str">
        <f>IF(ISERROR(INDEX(whPages,MATCH(B27,whName,0))),"",INDEX(whPages,MATCH(B27,whName,0)))</f>
        <v/>
      </c>
    </row>
    <row r="28" spans="1:7" x14ac:dyDescent="0.25">
      <c r="A28" s="1" t="s">
        <v>91</v>
      </c>
      <c r="C28" t="str">
        <f t="shared" si="2"/>
        <v/>
      </c>
      <c r="D28" t="str">
        <f>IF(ISERROR(INDEX(whPrice,MATCH(B28,whName,0))),"",INDEX(whPrice,MATCH(B28,whName,0)))</f>
        <v/>
      </c>
      <c r="E28" s="1" t="str">
        <f t="shared" si="3"/>
        <v/>
      </c>
      <c r="G28" t="str">
        <f>IF(ISERROR(INDEX(whPages,MATCH(B28,whName,0))),"",INDEX(whPages,MATCH(B28,whName,0)))</f>
        <v/>
      </c>
    </row>
    <row r="29" spans="1:7" x14ac:dyDescent="0.25">
      <c r="B29" t="str">
        <f>PathfinderTeam4xpathfinder</f>
        <v>Pathfinder Team (4 x pathfinder)</v>
      </c>
      <c r="C29">
        <f t="shared" si="2"/>
        <v>1</v>
      </c>
      <c r="D29">
        <f>IF(ISERROR(INDEX(whPrice,MATCH(B29,whName,0))),"",INDEX(whPrice,MATCH(B29,whName,0)))</f>
        <v>44</v>
      </c>
      <c r="E29" s="1">
        <f t="shared" si="3"/>
        <v>44</v>
      </c>
      <c r="G29">
        <f>IF(ISERROR(INDEX(whPages,MATCH(B29,whName,0))),"",INDEX(whPages,MATCH(B29,whName,0)))</f>
        <v>38</v>
      </c>
    </row>
    <row r="30" spans="1:7" x14ac:dyDescent="0.25">
      <c r="B30" t="str">
        <f>RailRifleForPathfinderTeam</f>
        <v>Rail Rifle (For Pathfinder Team)</v>
      </c>
      <c r="C30">
        <v>2</v>
      </c>
      <c r="D30">
        <f>IF(ISERROR(INDEX(whPrice,MATCH(B30,whName,0))),"",INDEX(whPrice,MATCH(B30,whName,0)))</f>
        <v>15</v>
      </c>
      <c r="E30" s="1">
        <f t="shared" si="3"/>
        <v>30</v>
      </c>
      <c r="G30">
        <f>IF(ISERROR(INDEX(whPages,MATCH(B30,whName,0))),"",INDEX(whPages,MATCH(B30,whName,0)))</f>
        <v>38</v>
      </c>
    </row>
    <row r="31" spans="1:7" x14ac:dyDescent="0.25">
      <c r="B31" t="str">
        <f>IonRifleForPathfinderTeam</f>
        <v>Ion Rifle (For Pathfinder Team)</v>
      </c>
      <c r="C31">
        <f t="shared" si="2"/>
        <v>1</v>
      </c>
      <c r="D31">
        <f>IF(ISERROR(INDEX(whPrice,MATCH(B31,whName,0))),"",INDEX(whPrice,MATCH(B31,whName,0)))</f>
        <v>10</v>
      </c>
      <c r="E31" s="1">
        <f t="shared" si="3"/>
        <v>10</v>
      </c>
      <c r="G31">
        <f>IF(ISERROR(INDEX(whPages,MATCH(B31,whName,0))),"",INDEX(whPages,MATCH(B31,whName,0)))</f>
        <v>38</v>
      </c>
    </row>
    <row r="32" spans="1:7" x14ac:dyDescent="0.25">
      <c r="B32" t="str">
        <f>MissileDrone</f>
        <v>Missile Drone</v>
      </c>
      <c r="C32">
        <v>2</v>
      </c>
      <c r="D32">
        <f>IF(ISERROR(INDEX(whPrice,MATCH(B32,whName,0))),"",INDEX(whPrice,MATCH(B32,whName,0)))</f>
        <v>12</v>
      </c>
      <c r="E32" s="1">
        <f t="shared" si="3"/>
        <v>24</v>
      </c>
      <c r="G32">
        <f>IF(ISERROR(INDEX(whPages,MATCH(B32,whName,0))),"",INDEX(whPages,MATCH(B32,whName,0)))</f>
        <v>65</v>
      </c>
    </row>
    <row r="33" spans="1:7" x14ac:dyDescent="0.25">
      <c r="C33" t="str">
        <f t="shared" si="2"/>
        <v/>
      </c>
      <c r="D33" t="str">
        <f>IF(ISERROR(INDEX(whPrice,MATCH(B33,whName,0))),"",INDEX(whPrice,MATCH(B33,whName,0)))</f>
        <v/>
      </c>
      <c r="E33" s="1" t="str">
        <f t="shared" si="3"/>
        <v/>
      </c>
      <c r="G33" t="str">
        <f>IF(ISERROR(INDEX(whPages,MATCH(B33,whName,0))),"",INDEX(whPages,MATCH(B33,whName,0)))</f>
        <v/>
      </c>
    </row>
    <row r="34" spans="1:7" x14ac:dyDescent="0.25">
      <c r="A34" s="1" t="s">
        <v>92</v>
      </c>
      <c r="C34" t="str">
        <f t="shared" si="2"/>
        <v/>
      </c>
      <c r="D34" t="str">
        <f>IF(ISERROR(INDEX(whPrice,MATCH(B34,whName,0))),"",INDEX(whPrice,MATCH(B34,whName,0)))</f>
        <v/>
      </c>
      <c r="E34" s="1" t="str">
        <f t="shared" si="3"/>
        <v/>
      </c>
      <c r="G34" t="str">
        <f>IF(ISERROR(INDEX(whPages,MATCH(B34,whName,0))),"",INDEX(whPages,MATCH(B34,whName,0)))</f>
        <v/>
      </c>
    </row>
    <row r="35" spans="1:7" x14ac:dyDescent="0.25">
      <c r="B35" t="str">
        <f>PathfinderTeam4xpathfinder</f>
        <v>Pathfinder Team (4 x pathfinder)</v>
      </c>
      <c r="C35">
        <f t="shared" si="2"/>
        <v>1</v>
      </c>
      <c r="D35">
        <f>IF(ISERROR(INDEX(whPrice,MATCH(B35,whName,0))),"",INDEX(whPrice,MATCH(B35,whName,0)))</f>
        <v>44</v>
      </c>
      <c r="E35" s="1">
        <f t="shared" si="3"/>
        <v>44</v>
      </c>
      <c r="G35">
        <f>IF(ISERROR(INDEX(whPages,MATCH(B35,whName,0))),"",INDEX(whPages,MATCH(B35,whName,0)))</f>
        <v>38</v>
      </c>
    </row>
    <row r="36" spans="1:7" x14ac:dyDescent="0.25">
      <c r="B36" t="str">
        <f>PathfinderForPathfinderTeam</f>
        <v>Pathfinder (For Pathfinder Team)</v>
      </c>
      <c r="C36">
        <v>3</v>
      </c>
      <c r="D36">
        <f>IF(ISERROR(INDEX(whPrice,MATCH(B36,whName,0))),"",INDEX(whPrice,MATCH(B36,whName,0)))</f>
        <v>11</v>
      </c>
      <c r="E36" s="1">
        <f t="shared" si="3"/>
        <v>33</v>
      </c>
      <c r="G36">
        <f>IF(ISERROR(INDEX(whPages,MATCH(B36,whName,0))),"",INDEX(whPages,MATCH(B36,whName,0)))</f>
        <v>38</v>
      </c>
    </row>
    <row r="37" spans="1:7" x14ac:dyDescent="0.25">
      <c r="C37" t="str">
        <f t="shared" si="2"/>
        <v/>
      </c>
      <c r="D37" t="str">
        <f>IF(ISERROR(INDEX(whPrice,MATCH(B37,whName,0))),"",INDEX(whPrice,MATCH(B37,whName,0)))</f>
        <v/>
      </c>
      <c r="E37" s="1" t="str">
        <f t="shared" si="3"/>
        <v/>
      </c>
      <c r="G37" t="str">
        <f>IF(ISERROR(INDEX(whPages,MATCH(B37,whName,0))),"",INDEX(whPages,MATCH(B37,whName,0)))</f>
        <v/>
      </c>
    </row>
    <row r="38" spans="1:7" x14ac:dyDescent="0.25">
      <c r="A38" s="1" t="s">
        <v>93</v>
      </c>
      <c r="C38" t="str">
        <f t="shared" si="2"/>
        <v/>
      </c>
      <c r="D38" t="str">
        <f>IF(ISERROR(INDEX(whPrice,MATCH(B38,whName,0))),"",INDEX(whPrice,MATCH(B38,whName,0)))</f>
        <v/>
      </c>
      <c r="E38" s="1" t="str">
        <f t="shared" si="3"/>
        <v/>
      </c>
      <c r="G38" t="str">
        <f>IF(ISERROR(INDEX(whPages,MATCH(B38,whName,0))),"",INDEX(whPages,MATCH(B38,whName,0)))</f>
        <v/>
      </c>
    </row>
    <row r="39" spans="1:7" x14ac:dyDescent="0.25">
      <c r="B39" t="str">
        <f>KrootCarnivoreSquad10xKroot</f>
        <v>Kroot Carnivore Squad (10 x Kroot)</v>
      </c>
      <c r="C39">
        <f t="shared" si="2"/>
        <v>1</v>
      </c>
      <c r="D39">
        <f>IF(ISERROR(INDEX(whPrice,MATCH(B39,whName,0))),"",INDEX(whPrice,MATCH(B39,whName,0)))</f>
        <v>60</v>
      </c>
      <c r="E39" s="1">
        <f t="shared" si="3"/>
        <v>60</v>
      </c>
      <c r="G39">
        <f>IF(ISERROR(INDEX(whPages,MATCH(B39,whName,0))),"",INDEX(whPages,MATCH(B39,whName,0)))</f>
        <v>53</v>
      </c>
    </row>
    <row r="40" spans="1:7" x14ac:dyDescent="0.25">
      <c r="B40" t="str">
        <f>SniperRoundsForKrootRifle</f>
        <v>Sniper Rounds (For Kroot Rifle)</v>
      </c>
      <c r="C40">
        <v>10</v>
      </c>
      <c r="D40">
        <f>IF(ISERROR(INDEX(whPrice,MATCH(B40,whName,0))),"",INDEX(whPrice,MATCH(B40,whName,0)))</f>
        <v>1</v>
      </c>
      <c r="E40" s="1">
        <f t="shared" si="3"/>
        <v>10</v>
      </c>
      <c r="G40">
        <f>IF(ISERROR(INDEX(whPages,MATCH(B40,whName,0))),"",INDEX(whPages,MATCH(B40,whName,0)))</f>
        <v>53</v>
      </c>
    </row>
    <row r="42" spans="1:7" x14ac:dyDescent="0.25">
      <c r="A42" s="1" t="s">
        <v>94</v>
      </c>
      <c r="C42" t="str">
        <f t="shared" si="2"/>
        <v/>
      </c>
      <c r="D42" t="str">
        <f>IF(ISERROR(INDEX(whPrice,MATCH(B42,whName,0))),"",INDEX(whPrice,MATCH(B42,whName,0)))</f>
        <v/>
      </c>
      <c r="E42" s="1" t="str">
        <f t="shared" si="3"/>
        <v/>
      </c>
      <c r="G42" t="str">
        <f>IF(ISERROR(INDEX(whPages,MATCH(B42,whName,0))),"",INDEX(whPages,MATCH(B42,whName,0)))</f>
        <v/>
      </c>
    </row>
    <row r="43" spans="1:7" x14ac:dyDescent="0.25">
      <c r="B43" t="str">
        <f>KrootCarnivoreSquad10xKroot</f>
        <v>Kroot Carnivore Squad (10 x Kroot)</v>
      </c>
      <c r="C43">
        <f t="shared" si="2"/>
        <v>1</v>
      </c>
      <c r="D43">
        <f>IF(ISERROR(INDEX(whPrice,MATCH(B43,whName,0))),"",INDEX(whPrice,MATCH(B43,whName,0)))</f>
        <v>60</v>
      </c>
      <c r="E43" s="1">
        <f t="shared" ref="E43" si="4">IF(ISERROR(C43*D43),"",C43*D43)</f>
        <v>60</v>
      </c>
      <c r="G43">
        <f>IF(ISERROR(INDEX(whPages,MATCH(B43,whName,0))),"",INDEX(whPages,MATCH(B43,whName,0)))</f>
        <v>53</v>
      </c>
    </row>
    <row r="44" spans="1:7" x14ac:dyDescent="0.25">
      <c r="B44" t="str">
        <f>SniperRoundsForKrootRifle</f>
        <v>Sniper Rounds (For Kroot Rifle)</v>
      </c>
      <c r="C44">
        <v>10</v>
      </c>
      <c r="D44">
        <f>IF(ISERROR(INDEX(whPrice,MATCH(B44,whName,0))),"",INDEX(whPrice,MATCH(B44,whName,0)))</f>
        <v>1</v>
      </c>
      <c r="E44" s="1">
        <f t="shared" si="3"/>
        <v>10</v>
      </c>
      <c r="G44">
        <f>IF(ISERROR(INDEX(whPages,MATCH(B44,whName,0))),"",INDEX(whPages,MATCH(B44,whName,0)))</f>
        <v>53</v>
      </c>
    </row>
    <row r="45" spans="1:7" x14ac:dyDescent="0.25">
      <c r="C45" t="str">
        <f t="shared" si="2"/>
        <v/>
      </c>
      <c r="D45" t="str">
        <f>IF(ISERROR(INDEX(whPrice,MATCH(B45,whName,0))),"",INDEX(whPrice,MATCH(B45,whName,0)))</f>
        <v/>
      </c>
      <c r="E45" s="1" t="str">
        <f t="shared" si="3"/>
        <v/>
      </c>
      <c r="G45" t="str">
        <f>IF(ISERROR(INDEX(whPages,MATCH(B45,whName,0))),"",INDEX(whPages,MATCH(B45,whName,0)))</f>
        <v/>
      </c>
    </row>
    <row r="46" spans="1:7" x14ac:dyDescent="0.25">
      <c r="A46" s="1" t="s">
        <v>82</v>
      </c>
      <c r="C46" t="str">
        <f t="shared" si="2"/>
        <v/>
      </c>
      <c r="D46" t="str">
        <f>IF(ISERROR(INDEX(whPrice,MATCH(B46,whName,0))),"",INDEX(whPrice,MATCH(B46,whName,0)))</f>
        <v/>
      </c>
      <c r="E46" s="1" t="str">
        <f t="shared" si="3"/>
        <v/>
      </c>
      <c r="G46" t="str">
        <f>IF(ISERROR(INDEX(whPages,MATCH(B46,whName,0))),"",INDEX(whPages,MATCH(B46,whName,0)))</f>
        <v/>
      </c>
    </row>
    <row r="47" spans="1:7" x14ac:dyDescent="0.25">
      <c r="B47" t="str">
        <f>SpaceMarineLibrarian</f>
        <v>Space Marine Librarian</v>
      </c>
      <c r="C47">
        <f t="shared" si="2"/>
        <v>1</v>
      </c>
      <c r="D47">
        <f>IF(ISERROR(INDEX(whPrice,MATCH(B47,whName,0))),"",INDEX(whPrice,MATCH(B47,whName,0)))</f>
        <v>100</v>
      </c>
      <c r="E47" s="1">
        <f t="shared" si="3"/>
        <v>100</v>
      </c>
      <c r="G47">
        <f>IF(ISERROR(INDEX(whPages,MATCH(B47,whName,0))),"",INDEX(whPages,MATCH(B47,whName,0)))</f>
        <v>56</v>
      </c>
    </row>
    <row r="48" spans="1:7" x14ac:dyDescent="0.25">
      <c r="B48" t="str">
        <f>TheGateOfInfinityForSpaceMarineLibrarian</f>
        <v>The Gate Of Infinity (For Space Marine Librarian)</v>
      </c>
      <c r="C48">
        <f t="shared" si="2"/>
        <v>1</v>
      </c>
      <c r="D48">
        <f>IF(ISERROR(INDEX(whPrice,MATCH(B48,whName,0))),"",INDEX(whPrice,MATCH(B48,whName,0)))</f>
        <v>0</v>
      </c>
      <c r="E48" s="1">
        <f t="shared" si="3"/>
        <v>0</v>
      </c>
      <c r="G48">
        <f>IF(ISERROR(INDEX(whPages,MATCH(B48,whName,0))),"",INDEX(whPages,MATCH(B48,whName,0)))</f>
        <v>56</v>
      </c>
    </row>
    <row r="49" spans="1:7" x14ac:dyDescent="0.25">
      <c r="B49" t="str">
        <f>NullZoneForSpaceMarineLibrarian</f>
        <v>Null Zone (For Space Marine Librarian)</v>
      </c>
      <c r="C49">
        <f t="shared" si="2"/>
        <v>1</v>
      </c>
      <c r="D49">
        <f>IF(ISERROR(INDEX(whPrice,MATCH(B49,whName,0))),"",INDEX(whPrice,MATCH(B49,whName,0)))</f>
        <v>0</v>
      </c>
      <c r="E49" s="1">
        <f t="shared" si="3"/>
        <v>0</v>
      </c>
      <c r="G49">
        <f>IF(ISERROR(INDEX(whPages,MATCH(B49,whName,0))),"",INDEX(whPages,MATCH(B49,whName,0)))</f>
        <v>56</v>
      </c>
    </row>
    <row r="50" spans="1:7" x14ac:dyDescent="0.25">
      <c r="C50" t="str">
        <f t="shared" si="2"/>
        <v/>
      </c>
      <c r="D50" t="str">
        <f>IF(ISERROR(INDEX(whPrice,MATCH(B50,whName,0))),"",INDEX(whPrice,MATCH(B50,whName,0)))</f>
        <v/>
      </c>
      <c r="E50" s="1" t="str">
        <f t="shared" si="3"/>
        <v/>
      </c>
      <c r="G50" t="str">
        <f>IF(ISERROR(INDEX(whPages,MATCH(B50,whName,0))),"",INDEX(whPages,MATCH(B50,whName,0)))</f>
        <v/>
      </c>
    </row>
    <row r="51" spans="1:7" x14ac:dyDescent="0.25">
      <c r="A51" s="1" t="s">
        <v>90</v>
      </c>
      <c r="C51" t="str">
        <f t="shared" si="2"/>
        <v/>
      </c>
      <c r="D51" t="str">
        <f>IF(ISERROR(INDEX(whPrice,MATCH(B51,whName,0))),"",INDEX(whPrice,MATCH(B51,whName,0)))</f>
        <v/>
      </c>
      <c r="E51" s="1" t="str">
        <f t="shared" si="3"/>
        <v/>
      </c>
      <c r="G51" t="str">
        <f>IF(ISERROR(INDEX(whPages,MATCH(B51,whName,0))),"",INDEX(whPages,MATCH(B51,whName,0)))</f>
        <v/>
      </c>
    </row>
    <row r="52" spans="1:7" x14ac:dyDescent="0.25">
      <c r="B52" t="str">
        <f>ScoutSquad4xMarineScouts1xSqt</f>
        <v>Scout Squad (4 x Marine Scouts, 1 x Sqt)</v>
      </c>
      <c r="C52">
        <f t="shared" si="2"/>
        <v>1</v>
      </c>
      <c r="D52">
        <f>IF(ISERROR(INDEX(whPrice,MATCH(B52,whName,0))),"",INDEX(whPrice,MATCH(B52,whName,0)))</f>
        <v>75</v>
      </c>
      <c r="E52" s="1">
        <f t="shared" si="3"/>
        <v>75</v>
      </c>
      <c r="G52">
        <f>IF(ISERROR(INDEX(whPages,MATCH(B52,whName,0))),"",INDEX(whPages,MATCH(B52,whName,0)))</f>
        <v>66</v>
      </c>
    </row>
    <row r="53" spans="1:7" x14ac:dyDescent="0.25">
      <c r="B53" t="str">
        <f>HeavyBolterWithHellfireShellsForScoutSquad</f>
        <v>Heavy Bolter With Hellfire Shells (For Scout Squad)</v>
      </c>
      <c r="C53">
        <f t="shared" si="2"/>
        <v>1</v>
      </c>
      <c r="D53">
        <f>IF(ISERROR(INDEX(whPrice,MATCH(B53,whName,0))),"",INDEX(whPrice,MATCH(B53,whName,0)))</f>
        <v>10</v>
      </c>
      <c r="E53" s="1">
        <f t="shared" si="3"/>
        <v>10</v>
      </c>
      <c r="G53">
        <f>IF(ISERROR(INDEX(whPages,MATCH(B53,whName,0))),"",INDEX(whPages,MATCH(B53,whName,0)))</f>
        <v>66</v>
      </c>
    </row>
    <row r="54" spans="1:7" x14ac:dyDescent="0.25">
      <c r="C54" t="str">
        <f t="shared" si="2"/>
        <v/>
      </c>
      <c r="D54" t="str">
        <f>IF(ISERROR(INDEX(whPrice,MATCH(B54,whName,0))),"",INDEX(whPrice,MATCH(B54,whName,0)))</f>
        <v/>
      </c>
      <c r="E54" s="1" t="str">
        <f t="shared" si="3"/>
        <v/>
      </c>
      <c r="G54" t="str">
        <f>IF(ISERROR(INDEX(whPages,MATCH(B54,whName,0))),"",INDEX(whPages,MATCH(B54,whName,0)))</f>
        <v/>
      </c>
    </row>
    <row r="55" spans="1:7" x14ac:dyDescent="0.25">
      <c r="C55" t="str">
        <f t="shared" si="2"/>
        <v/>
      </c>
      <c r="D55" t="str">
        <f>IF(ISERROR(INDEX(whPrice,MATCH(B55,whName,0))),"",INDEX(whPrice,MATCH(B55,whName,0)))</f>
        <v/>
      </c>
      <c r="E55" s="1" t="str">
        <f t="shared" si="3"/>
        <v/>
      </c>
      <c r="G55" t="str">
        <f>IF(ISERROR(INDEX(whPages,MATCH(B55,whName,0))),"",INDEX(whPages,MATCH(B55,whName,0)))</f>
        <v/>
      </c>
    </row>
    <row r="56" spans="1:7" x14ac:dyDescent="0.25">
      <c r="C56" t="str">
        <f t="shared" si="2"/>
        <v/>
      </c>
      <c r="D56" t="str">
        <f>IF(ISERROR(INDEX(whPrice,MATCH(B56,whName,0))),"",INDEX(whPrice,MATCH(B56,whName,0)))</f>
        <v/>
      </c>
      <c r="E56" s="1" t="str">
        <f t="shared" si="3"/>
        <v/>
      </c>
      <c r="G56" t="str">
        <f>IF(ISERROR(INDEX(whPages,MATCH(B56,whName,0))),"",INDEX(whPages,MATCH(B56,whName,0)))</f>
        <v/>
      </c>
    </row>
    <row r="57" spans="1:7" x14ac:dyDescent="0.25">
      <c r="C57" t="str">
        <f t="shared" si="2"/>
        <v/>
      </c>
      <c r="D57" t="str">
        <f>IF(ISERROR(INDEX(whPrice,MATCH(B57,whName,0))),"",INDEX(whPrice,MATCH(B57,whName,0)))</f>
        <v/>
      </c>
      <c r="E57" s="1" t="str">
        <f t="shared" si="3"/>
        <v/>
      </c>
      <c r="G57" t="str">
        <f>IF(ISERROR(INDEX(whPages,MATCH(B57,whName,0))),"",INDEX(whPages,MATCH(B57,whName,0)))</f>
        <v/>
      </c>
    </row>
    <row r="58" spans="1:7" x14ac:dyDescent="0.25">
      <c r="C58" t="str">
        <f t="shared" si="2"/>
        <v/>
      </c>
      <c r="D58" t="str">
        <f>IF(ISERROR(INDEX(whPrice,MATCH(B58,whName,0))),"",INDEX(whPrice,MATCH(B58,whName,0)))</f>
        <v/>
      </c>
      <c r="E58" s="1" t="str">
        <f t="shared" si="3"/>
        <v/>
      </c>
      <c r="G58" t="str">
        <f>IF(ISERROR(INDEX(whPages,MATCH(B58,whName,0))),"",INDEX(whPages,MATCH(B58,whName,0)))</f>
        <v/>
      </c>
    </row>
    <row r="59" spans="1:7" x14ac:dyDescent="0.25">
      <c r="C59" t="str">
        <f t="shared" si="2"/>
        <v/>
      </c>
      <c r="D59" t="str">
        <f>IF(ISERROR(INDEX(whPrice,MATCH(B59,whName,0))),"",INDEX(whPrice,MATCH(B59,whName,0)))</f>
        <v/>
      </c>
      <c r="E59" s="1" t="str">
        <f t="shared" si="3"/>
        <v/>
      </c>
      <c r="G59" t="str">
        <f>IF(ISERROR(INDEX(whPages,MATCH(B59,whName,0))),"",INDEX(whPages,MATCH(B59,whName,0)))</f>
        <v/>
      </c>
    </row>
    <row r="60" spans="1:7" x14ac:dyDescent="0.25">
      <c r="C60" t="str">
        <f t="shared" si="2"/>
        <v/>
      </c>
      <c r="D60" t="str">
        <f>IF(ISERROR(INDEX(whPrice,MATCH(B60,whName,0))),"",INDEX(whPrice,MATCH(B60,whName,0)))</f>
        <v/>
      </c>
      <c r="E60" s="1" t="str">
        <f t="shared" si="3"/>
        <v/>
      </c>
      <c r="G60" t="str">
        <f>IF(ISERROR(INDEX(whPages,MATCH(B60,whName,0))),"",INDEX(whPages,MATCH(B60,whName,0)))</f>
        <v/>
      </c>
    </row>
    <row r="61" spans="1:7" x14ac:dyDescent="0.25">
      <c r="C61" t="str">
        <f t="shared" si="2"/>
        <v/>
      </c>
      <c r="D61" t="str">
        <f>IF(ISERROR(INDEX(whPrice,MATCH(B61,whName,0))),"",INDEX(whPrice,MATCH(B61,whName,0)))</f>
        <v/>
      </c>
      <c r="E61" s="1" t="str">
        <f t="shared" si="3"/>
        <v/>
      </c>
      <c r="G61" t="str">
        <f>IF(ISERROR(INDEX(whPages,MATCH(B61,whName,0))),"",INDEX(whPages,MATCH(B61,whName,0)))</f>
        <v/>
      </c>
    </row>
    <row r="62" spans="1:7" x14ac:dyDescent="0.25">
      <c r="C62" t="str">
        <f t="shared" si="2"/>
        <v/>
      </c>
      <c r="D62" t="str">
        <f>IF(ISERROR(INDEX(whPrice,MATCH(B62,whName,0))),"",INDEX(whPrice,MATCH(B62,whName,0)))</f>
        <v/>
      </c>
      <c r="E62" s="1" t="str">
        <f t="shared" si="3"/>
        <v/>
      </c>
      <c r="G62" t="str">
        <f>IF(ISERROR(INDEX(whPages,MATCH(B62,whName,0))),"",INDEX(whPages,MATCH(B62,whName,0)))</f>
        <v/>
      </c>
    </row>
    <row r="63" spans="1:7" x14ac:dyDescent="0.25">
      <c r="C63" t="str">
        <f t="shared" ref="C63:C126" si="5">IF(ISBLANK(B63),"",1)</f>
        <v/>
      </c>
      <c r="D63" t="str">
        <f>IF(ISERROR(INDEX(whPrice,MATCH(B63,whName,0))),"",INDEX(whPrice,MATCH(B63,whName,0)))</f>
        <v/>
      </c>
      <c r="E63" s="1" t="str">
        <f t="shared" ref="E63:E126" si="6">IF(ISERROR(C63*D63),"",C63*D63)</f>
        <v/>
      </c>
      <c r="G63" t="str">
        <f>IF(ISERROR(INDEX(whPages,MATCH(B63,whName,0))),"",INDEX(whPages,MATCH(B63,whName,0)))</f>
        <v/>
      </c>
    </row>
    <row r="64" spans="1:7" x14ac:dyDescent="0.25">
      <c r="C64" t="str">
        <f t="shared" si="5"/>
        <v/>
      </c>
      <c r="D64" t="str">
        <f>IF(ISERROR(INDEX(whPrice,MATCH(B64,whName,0))),"",INDEX(whPrice,MATCH(B64,whName,0)))</f>
        <v/>
      </c>
      <c r="E64" s="1" t="str">
        <f t="shared" si="6"/>
        <v/>
      </c>
      <c r="G64" t="str">
        <f>IF(ISERROR(INDEX(whPages,MATCH(B64,whName,0))),"",INDEX(whPages,MATCH(B64,whName,0)))</f>
        <v/>
      </c>
    </row>
    <row r="65" spans="3:5" x14ac:dyDescent="0.25">
      <c r="C65" t="str">
        <f t="shared" si="5"/>
        <v/>
      </c>
      <c r="D65" t="str">
        <f>IF(ISERROR(INDEX(whPrice,MATCH(B65,whName,0))),"",INDEX(whPrice,MATCH(B65,whName,0)))</f>
        <v/>
      </c>
      <c r="E65" s="1" t="str">
        <f t="shared" si="6"/>
        <v/>
      </c>
    </row>
    <row r="66" spans="3:5" x14ac:dyDescent="0.25">
      <c r="C66" t="str">
        <f t="shared" si="5"/>
        <v/>
      </c>
      <c r="D66" t="str">
        <f>IF(ISERROR(INDEX(whPrice,MATCH(B66,whName,0))),"",INDEX(whPrice,MATCH(B66,whName,0)))</f>
        <v/>
      </c>
      <c r="E66" s="1" t="str">
        <f t="shared" si="6"/>
        <v/>
      </c>
    </row>
    <row r="67" spans="3:5" x14ac:dyDescent="0.25">
      <c r="C67" t="str">
        <f t="shared" si="5"/>
        <v/>
      </c>
      <c r="D67" t="str">
        <f>IF(ISERROR(INDEX(whPrice,MATCH(B67,whName,0))),"",INDEX(whPrice,MATCH(B67,whName,0)))</f>
        <v/>
      </c>
      <c r="E67" s="1" t="str">
        <f t="shared" si="6"/>
        <v/>
      </c>
    </row>
    <row r="68" spans="3:5" x14ac:dyDescent="0.25">
      <c r="C68" t="str">
        <f t="shared" si="5"/>
        <v/>
      </c>
      <c r="D68" t="str">
        <f>IF(ISERROR(INDEX(whPrice,MATCH(B68,whName,0))),"",INDEX(whPrice,MATCH(B68,whName,0)))</f>
        <v/>
      </c>
      <c r="E68" s="1" t="str">
        <f t="shared" si="6"/>
        <v/>
      </c>
    </row>
    <row r="69" spans="3:5" x14ac:dyDescent="0.25">
      <c r="C69" t="str">
        <f t="shared" si="5"/>
        <v/>
      </c>
      <c r="D69" t="str">
        <f>IF(ISERROR(INDEX(whPrice,MATCH(B69,whName,0))),"",INDEX(whPrice,MATCH(B69,whName,0)))</f>
        <v/>
      </c>
      <c r="E69" s="1" t="str">
        <f t="shared" si="6"/>
        <v/>
      </c>
    </row>
    <row r="70" spans="3:5" x14ac:dyDescent="0.25">
      <c r="C70" t="str">
        <f t="shared" si="5"/>
        <v/>
      </c>
      <c r="D70" t="str">
        <f>IF(ISERROR(INDEX(whPrice,MATCH(B70,whName,0))),"",INDEX(whPrice,MATCH(B70,whName,0)))</f>
        <v/>
      </c>
      <c r="E70" s="1" t="str">
        <f t="shared" si="6"/>
        <v/>
      </c>
    </row>
    <row r="71" spans="3:5" x14ac:dyDescent="0.25">
      <c r="C71" t="str">
        <f t="shared" si="5"/>
        <v/>
      </c>
      <c r="D71" t="str">
        <f>IF(ISERROR(INDEX(whPrice,MATCH(B71,whName,0))),"",INDEX(whPrice,MATCH(B71,whName,0)))</f>
        <v/>
      </c>
      <c r="E71" s="1" t="str">
        <f t="shared" si="6"/>
        <v/>
      </c>
    </row>
    <row r="72" spans="3:5" x14ac:dyDescent="0.25">
      <c r="C72" t="str">
        <f t="shared" si="5"/>
        <v/>
      </c>
      <c r="D72" t="str">
        <f>IF(ISERROR(INDEX(whPrice,MATCH(B72,whName,0))),"",INDEX(whPrice,MATCH(B72,whName,0)))</f>
        <v/>
      </c>
      <c r="E72" s="1" t="str">
        <f t="shared" si="6"/>
        <v/>
      </c>
    </row>
    <row r="73" spans="3:5" x14ac:dyDescent="0.25">
      <c r="C73" t="str">
        <f t="shared" si="5"/>
        <v/>
      </c>
      <c r="D73" t="str">
        <f>IF(ISERROR(INDEX(whPrice,MATCH(B73,whName,0))),"",INDEX(whPrice,MATCH(B73,whName,0)))</f>
        <v/>
      </c>
      <c r="E73" s="1" t="str">
        <f t="shared" si="6"/>
        <v/>
      </c>
    </row>
    <row r="74" spans="3:5" x14ac:dyDescent="0.25">
      <c r="C74" t="str">
        <f t="shared" si="5"/>
        <v/>
      </c>
      <c r="D74" t="str">
        <f>IF(ISERROR(INDEX(whPrice,MATCH(B74,whName,0))),"",INDEX(whPrice,MATCH(B74,whName,0)))</f>
        <v/>
      </c>
      <c r="E74" s="1" t="str">
        <f t="shared" si="6"/>
        <v/>
      </c>
    </row>
    <row r="75" spans="3:5" x14ac:dyDescent="0.25">
      <c r="C75" t="str">
        <f t="shared" si="5"/>
        <v/>
      </c>
      <c r="D75" t="str">
        <f>IF(ISERROR(INDEX(whPrice,MATCH(B75,whName,0))),"",INDEX(whPrice,MATCH(B75,whName,0)))</f>
        <v/>
      </c>
      <c r="E75" s="1" t="str">
        <f t="shared" si="6"/>
        <v/>
      </c>
    </row>
    <row r="76" spans="3:5" x14ac:dyDescent="0.25">
      <c r="C76" t="str">
        <f t="shared" si="5"/>
        <v/>
      </c>
      <c r="D76" t="str">
        <f>IF(ISERROR(INDEX(whPrice,MATCH(B76,whName,0))),"",INDEX(whPrice,MATCH(B76,whName,0)))</f>
        <v/>
      </c>
      <c r="E76" s="1" t="str">
        <f t="shared" si="6"/>
        <v/>
      </c>
    </row>
    <row r="77" spans="3:5" x14ac:dyDescent="0.25">
      <c r="C77" t="str">
        <f t="shared" si="5"/>
        <v/>
      </c>
      <c r="D77" t="str">
        <f>IF(ISERROR(INDEX(whPrice,MATCH(B77,whName,0))),"",INDEX(whPrice,MATCH(B77,whName,0)))</f>
        <v/>
      </c>
      <c r="E77" s="1" t="str">
        <f t="shared" si="6"/>
        <v/>
      </c>
    </row>
    <row r="78" spans="3:5" x14ac:dyDescent="0.25">
      <c r="C78" t="str">
        <f t="shared" si="5"/>
        <v/>
      </c>
      <c r="D78" t="str">
        <f>IF(ISERROR(INDEX(whPrice,MATCH(B78,whName,0))),"",INDEX(whPrice,MATCH(B78,whName,0)))</f>
        <v/>
      </c>
      <c r="E78" s="1" t="str">
        <f t="shared" si="6"/>
        <v/>
      </c>
    </row>
    <row r="79" spans="3:5" x14ac:dyDescent="0.25">
      <c r="C79" t="str">
        <f t="shared" si="5"/>
        <v/>
      </c>
      <c r="D79" t="str">
        <f>IF(ISERROR(INDEX(whPrice,MATCH(B79,whName,0))),"",INDEX(whPrice,MATCH(B79,whName,0)))</f>
        <v/>
      </c>
      <c r="E79" s="1" t="str">
        <f t="shared" si="6"/>
        <v/>
      </c>
    </row>
    <row r="80" spans="3:5" x14ac:dyDescent="0.25">
      <c r="C80" t="str">
        <f t="shared" si="5"/>
        <v/>
      </c>
      <c r="D80" t="str">
        <f>IF(ISERROR(INDEX(whPrice,MATCH(B80,whName,0))),"",INDEX(whPrice,MATCH(B80,whName,0)))</f>
        <v/>
      </c>
      <c r="E80" s="1" t="str">
        <f t="shared" si="6"/>
        <v/>
      </c>
    </row>
    <row r="81" spans="3:5" x14ac:dyDescent="0.25">
      <c r="C81" t="str">
        <f t="shared" si="5"/>
        <v/>
      </c>
      <c r="D81" t="str">
        <f>IF(ISERROR(INDEX(whPrice,MATCH(B81,whName,0))),"",INDEX(whPrice,MATCH(B81,whName,0)))</f>
        <v/>
      </c>
      <c r="E81" s="1" t="str">
        <f t="shared" si="6"/>
        <v/>
      </c>
    </row>
    <row r="82" spans="3:5" x14ac:dyDescent="0.25">
      <c r="C82" t="str">
        <f t="shared" si="5"/>
        <v/>
      </c>
      <c r="D82" t="str">
        <f>IF(ISERROR(INDEX(whPrice,MATCH(B82,whName,0))),"",INDEX(whPrice,MATCH(B82,whName,0)))</f>
        <v/>
      </c>
      <c r="E82" s="1" t="str">
        <f t="shared" si="6"/>
        <v/>
      </c>
    </row>
    <row r="83" spans="3:5" x14ac:dyDescent="0.25">
      <c r="C83" t="str">
        <f t="shared" si="5"/>
        <v/>
      </c>
      <c r="D83" t="str">
        <f>IF(ISERROR(INDEX(whPrice,MATCH(B83,whName,0))),"",INDEX(whPrice,MATCH(B83,whName,0)))</f>
        <v/>
      </c>
      <c r="E83" s="1" t="str">
        <f t="shared" si="6"/>
        <v/>
      </c>
    </row>
    <row r="84" spans="3:5" x14ac:dyDescent="0.25">
      <c r="C84" t="str">
        <f t="shared" si="5"/>
        <v/>
      </c>
      <c r="D84" t="str">
        <f>IF(ISERROR(INDEX(whPrice,MATCH(B84,whName,0))),"",INDEX(whPrice,MATCH(B84,whName,0)))</f>
        <v/>
      </c>
      <c r="E84" s="1" t="str">
        <f t="shared" si="6"/>
        <v/>
      </c>
    </row>
    <row r="85" spans="3:5" x14ac:dyDescent="0.25">
      <c r="C85" t="str">
        <f t="shared" si="5"/>
        <v/>
      </c>
      <c r="D85" t="str">
        <f>IF(ISERROR(INDEX(whPrice,MATCH(B85,whName,0))),"",INDEX(whPrice,MATCH(B85,whName,0)))</f>
        <v/>
      </c>
      <c r="E85" s="1" t="str">
        <f t="shared" si="6"/>
        <v/>
      </c>
    </row>
    <row r="86" spans="3:5" x14ac:dyDescent="0.25">
      <c r="C86" t="str">
        <f t="shared" si="5"/>
        <v/>
      </c>
      <c r="D86" t="str">
        <f>IF(ISERROR(INDEX(whPrice,MATCH(B86,whName,0))),"",INDEX(whPrice,MATCH(B86,whName,0)))</f>
        <v/>
      </c>
      <c r="E86" s="1" t="str">
        <f t="shared" si="6"/>
        <v/>
      </c>
    </row>
    <row r="87" spans="3:5" x14ac:dyDescent="0.25">
      <c r="C87" t="str">
        <f t="shared" si="5"/>
        <v/>
      </c>
      <c r="D87" t="str">
        <f>IF(ISERROR(INDEX(whPrice,MATCH(B87,whName,0))),"",INDEX(whPrice,MATCH(B87,whName,0)))</f>
        <v/>
      </c>
      <c r="E87" s="1" t="str">
        <f t="shared" si="6"/>
        <v/>
      </c>
    </row>
    <row r="88" spans="3:5" x14ac:dyDescent="0.25">
      <c r="C88" t="str">
        <f t="shared" si="5"/>
        <v/>
      </c>
      <c r="D88" t="str">
        <f>IF(ISERROR(INDEX(whPrice,MATCH(B88,whName,0))),"",INDEX(whPrice,MATCH(B88,whName,0)))</f>
        <v/>
      </c>
      <c r="E88" s="1" t="str">
        <f t="shared" si="6"/>
        <v/>
      </c>
    </row>
    <row r="89" spans="3:5" x14ac:dyDescent="0.25">
      <c r="C89" t="str">
        <f t="shared" si="5"/>
        <v/>
      </c>
      <c r="D89" t="str">
        <f>IF(ISERROR(INDEX(whPrice,MATCH(B89,whName,0))),"",INDEX(whPrice,MATCH(B89,whName,0)))</f>
        <v/>
      </c>
      <c r="E89" s="1" t="str">
        <f t="shared" si="6"/>
        <v/>
      </c>
    </row>
    <row r="90" spans="3:5" x14ac:dyDescent="0.25">
      <c r="C90" t="str">
        <f t="shared" si="5"/>
        <v/>
      </c>
      <c r="D90" t="str">
        <f>IF(ISERROR(INDEX(whPrice,MATCH(B90,whName,0))),"",INDEX(whPrice,MATCH(B90,whName,0)))</f>
        <v/>
      </c>
      <c r="E90" s="1" t="str">
        <f t="shared" si="6"/>
        <v/>
      </c>
    </row>
    <row r="91" spans="3:5" x14ac:dyDescent="0.25">
      <c r="C91" t="str">
        <f t="shared" si="5"/>
        <v/>
      </c>
      <c r="D91" t="str">
        <f>IF(ISERROR(INDEX(whPrice,MATCH(B91,whName,0))),"",INDEX(whPrice,MATCH(B91,whName,0)))</f>
        <v/>
      </c>
      <c r="E91" s="1" t="str">
        <f t="shared" si="6"/>
        <v/>
      </c>
    </row>
    <row r="92" spans="3:5" x14ac:dyDescent="0.25">
      <c r="C92" t="str">
        <f t="shared" si="5"/>
        <v/>
      </c>
      <c r="D92" t="str">
        <f>IF(ISERROR(INDEX(whPrice,MATCH(B92,whName,0))),"",INDEX(whPrice,MATCH(B92,whName,0)))</f>
        <v/>
      </c>
      <c r="E92" s="1" t="str">
        <f t="shared" si="6"/>
        <v/>
      </c>
    </row>
    <row r="93" spans="3:5" x14ac:dyDescent="0.25">
      <c r="C93" t="str">
        <f t="shared" si="5"/>
        <v/>
      </c>
      <c r="D93" t="str">
        <f>IF(ISERROR(INDEX(whPrice,MATCH(B93,whName,0))),"",INDEX(whPrice,MATCH(B93,whName,0)))</f>
        <v/>
      </c>
      <c r="E93" s="1" t="str">
        <f t="shared" si="6"/>
        <v/>
      </c>
    </row>
    <row r="94" spans="3:5" x14ac:dyDescent="0.25">
      <c r="C94" t="str">
        <f t="shared" si="5"/>
        <v/>
      </c>
      <c r="D94" t="str">
        <f>IF(ISERROR(INDEX(whPrice,MATCH(B94,whName,0))),"",INDEX(whPrice,MATCH(B94,whName,0)))</f>
        <v/>
      </c>
      <c r="E94" s="1" t="str">
        <f t="shared" si="6"/>
        <v/>
      </c>
    </row>
    <row r="95" spans="3:5" x14ac:dyDescent="0.25">
      <c r="C95" t="str">
        <f t="shared" si="5"/>
        <v/>
      </c>
      <c r="D95" t="str">
        <f>IF(ISERROR(INDEX(whPrice,MATCH(B95,whName,0))),"",INDEX(whPrice,MATCH(B95,whName,0)))</f>
        <v/>
      </c>
      <c r="E95" s="1" t="str">
        <f t="shared" si="6"/>
        <v/>
      </c>
    </row>
    <row r="96" spans="3:5" x14ac:dyDescent="0.25">
      <c r="C96" t="str">
        <f t="shared" si="5"/>
        <v/>
      </c>
      <c r="D96" t="str">
        <f>IF(ISERROR(INDEX(whPrice,MATCH(B96,whName,0))),"",INDEX(whPrice,MATCH(B96,whName,0)))</f>
        <v/>
      </c>
      <c r="E96" s="1" t="str">
        <f t="shared" si="6"/>
        <v/>
      </c>
    </row>
    <row r="97" spans="3:5" x14ac:dyDescent="0.25">
      <c r="C97" t="str">
        <f t="shared" si="5"/>
        <v/>
      </c>
      <c r="D97" t="str">
        <f>IF(ISERROR(INDEX(whPrice,MATCH(B97,whName,0))),"",INDEX(whPrice,MATCH(B97,whName,0)))</f>
        <v/>
      </c>
      <c r="E97" s="1" t="str">
        <f t="shared" si="6"/>
        <v/>
      </c>
    </row>
    <row r="98" spans="3:5" x14ac:dyDescent="0.25">
      <c r="C98" t="str">
        <f t="shared" si="5"/>
        <v/>
      </c>
      <c r="D98" t="str">
        <f>IF(ISERROR(INDEX(whPrice,MATCH(B98,whName,0))),"",INDEX(whPrice,MATCH(B98,whName,0)))</f>
        <v/>
      </c>
      <c r="E98" s="1" t="str">
        <f t="shared" si="6"/>
        <v/>
      </c>
    </row>
    <row r="99" spans="3:5" x14ac:dyDescent="0.25">
      <c r="C99" t="str">
        <f t="shared" si="5"/>
        <v/>
      </c>
      <c r="D99" t="str">
        <f>IF(ISERROR(INDEX(whPrice,MATCH(B99,whName,0))),"",INDEX(whPrice,MATCH(B99,whName,0)))</f>
        <v/>
      </c>
      <c r="E99" s="1" t="str">
        <f t="shared" si="6"/>
        <v/>
      </c>
    </row>
    <row r="100" spans="3:5" x14ac:dyDescent="0.25">
      <c r="C100" t="str">
        <f t="shared" si="5"/>
        <v/>
      </c>
      <c r="D100" t="str">
        <f>IF(ISERROR(INDEX(whPrice,MATCH(B100,whName,0))),"",INDEX(whPrice,MATCH(B100,whName,0)))</f>
        <v/>
      </c>
      <c r="E100" s="1" t="str">
        <f t="shared" si="6"/>
        <v/>
      </c>
    </row>
    <row r="101" spans="3:5" x14ac:dyDescent="0.25">
      <c r="C101" t="str">
        <f t="shared" si="5"/>
        <v/>
      </c>
      <c r="D101" t="str">
        <f>IF(ISERROR(INDEX(whPrice,MATCH(B101,whName,0))),"",INDEX(whPrice,MATCH(B101,whName,0)))</f>
        <v/>
      </c>
      <c r="E101" s="1" t="str">
        <f t="shared" si="6"/>
        <v/>
      </c>
    </row>
    <row r="102" spans="3:5" x14ac:dyDescent="0.25">
      <c r="C102" t="str">
        <f t="shared" si="5"/>
        <v/>
      </c>
      <c r="D102" t="str">
        <f>IF(ISERROR(INDEX(whPrice,MATCH(B102,whName,0))),"",INDEX(whPrice,MATCH(B102,whName,0)))</f>
        <v/>
      </c>
      <c r="E102" s="1" t="str">
        <f t="shared" si="6"/>
        <v/>
      </c>
    </row>
    <row r="103" spans="3:5" x14ac:dyDescent="0.25">
      <c r="C103" t="str">
        <f t="shared" si="5"/>
        <v/>
      </c>
      <c r="D103" t="str">
        <f>IF(ISERROR(INDEX(whPrice,MATCH(B103,whName,0))),"",INDEX(whPrice,MATCH(B103,whName,0)))</f>
        <v/>
      </c>
      <c r="E103" s="1" t="str">
        <f t="shared" si="6"/>
        <v/>
      </c>
    </row>
    <row r="104" spans="3:5" x14ac:dyDescent="0.25">
      <c r="C104" t="str">
        <f t="shared" si="5"/>
        <v/>
      </c>
      <c r="D104" t="str">
        <f>IF(ISERROR(INDEX(whPrice,MATCH(B104,whName,0))),"",INDEX(whPrice,MATCH(B104,whName,0)))</f>
        <v/>
      </c>
      <c r="E104" s="1" t="str">
        <f t="shared" si="6"/>
        <v/>
      </c>
    </row>
    <row r="105" spans="3:5" x14ac:dyDescent="0.25">
      <c r="C105" t="str">
        <f t="shared" si="5"/>
        <v/>
      </c>
      <c r="D105" t="str">
        <f>IF(ISERROR(INDEX(whPrice,MATCH(B105,whName,0))),"",INDEX(whPrice,MATCH(B105,whName,0)))</f>
        <v/>
      </c>
      <c r="E105" s="1" t="str">
        <f t="shared" si="6"/>
        <v/>
      </c>
    </row>
    <row r="106" spans="3:5" x14ac:dyDescent="0.25">
      <c r="C106" t="str">
        <f t="shared" si="5"/>
        <v/>
      </c>
      <c r="D106" t="str">
        <f>IF(ISERROR(INDEX(whPrice,MATCH(B106,whName,0))),"",INDEX(whPrice,MATCH(B106,whName,0)))</f>
        <v/>
      </c>
      <c r="E106" s="1" t="str">
        <f t="shared" si="6"/>
        <v/>
      </c>
    </row>
    <row r="107" spans="3:5" x14ac:dyDescent="0.25">
      <c r="C107" t="str">
        <f t="shared" si="5"/>
        <v/>
      </c>
      <c r="D107" t="str">
        <f>IF(ISERROR(INDEX(whPrice,MATCH(B107,whName,0))),"",INDEX(whPrice,MATCH(B107,whName,0)))</f>
        <v/>
      </c>
      <c r="E107" s="1" t="str">
        <f t="shared" si="6"/>
        <v/>
      </c>
    </row>
    <row r="108" spans="3:5" x14ac:dyDescent="0.25">
      <c r="C108" t="str">
        <f t="shared" si="5"/>
        <v/>
      </c>
      <c r="D108" t="str">
        <f>IF(ISERROR(INDEX(whPrice,MATCH(B108,whName,0))),"",INDEX(whPrice,MATCH(B108,whName,0)))</f>
        <v/>
      </c>
      <c r="E108" s="1" t="str">
        <f t="shared" si="6"/>
        <v/>
      </c>
    </row>
    <row r="109" spans="3:5" x14ac:dyDescent="0.25">
      <c r="C109" t="str">
        <f t="shared" si="5"/>
        <v/>
      </c>
      <c r="D109" t="str">
        <f>IF(ISERROR(INDEX(whPrice,MATCH(B109,whName,0))),"",INDEX(whPrice,MATCH(B109,whName,0)))</f>
        <v/>
      </c>
      <c r="E109" s="1" t="str">
        <f t="shared" si="6"/>
        <v/>
      </c>
    </row>
    <row r="110" spans="3:5" x14ac:dyDescent="0.25">
      <c r="C110" t="str">
        <f t="shared" si="5"/>
        <v/>
      </c>
      <c r="D110" t="str">
        <f>IF(ISERROR(INDEX(whPrice,MATCH(B110,whName,0))),"",INDEX(whPrice,MATCH(B110,whName,0)))</f>
        <v/>
      </c>
      <c r="E110" s="1" t="str">
        <f t="shared" si="6"/>
        <v/>
      </c>
    </row>
    <row r="111" spans="3:5" x14ac:dyDescent="0.25">
      <c r="C111" t="str">
        <f t="shared" si="5"/>
        <v/>
      </c>
      <c r="D111" t="str">
        <f>IF(ISERROR(INDEX(whPrice,MATCH(B111,whName,0))),"",INDEX(whPrice,MATCH(B111,whName,0)))</f>
        <v/>
      </c>
      <c r="E111" s="1" t="str">
        <f t="shared" si="6"/>
        <v/>
      </c>
    </row>
    <row r="112" spans="3:5" x14ac:dyDescent="0.25">
      <c r="C112" t="str">
        <f t="shared" si="5"/>
        <v/>
      </c>
      <c r="D112" t="str">
        <f>IF(ISERROR(INDEX(whPrice,MATCH(B112,whName,0))),"",INDEX(whPrice,MATCH(B112,whName,0)))</f>
        <v/>
      </c>
      <c r="E112" s="1" t="str">
        <f t="shared" si="6"/>
        <v/>
      </c>
    </row>
    <row r="113" spans="3:5" x14ac:dyDescent="0.25">
      <c r="C113" t="str">
        <f t="shared" si="5"/>
        <v/>
      </c>
      <c r="D113" t="str">
        <f>IF(ISERROR(INDEX(whPrice,MATCH(B113,whName,0))),"",INDEX(whPrice,MATCH(B113,whName,0)))</f>
        <v/>
      </c>
      <c r="E113" s="1" t="str">
        <f t="shared" si="6"/>
        <v/>
      </c>
    </row>
    <row r="114" spans="3:5" x14ac:dyDescent="0.25">
      <c r="C114" t="str">
        <f t="shared" si="5"/>
        <v/>
      </c>
      <c r="D114" t="str">
        <f>IF(ISERROR(INDEX(whPrice,MATCH(B114,whName,0))),"",INDEX(whPrice,MATCH(B114,whName,0)))</f>
        <v/>
      </c>
      <c r="E114" s="1" t="str">
        <f t="shared" si="6"/>
        <v/>
      </c>
    </row>
    <row r="115" spans="3:5" x14ac:dyDescent="0.25">
      <c r="C115" t="str">
        <f t="shared" si="5"/>
        <v/>
      </c>
      <c r="D115" t="str">
        <f>IF(ISERROR(INDEX(whPrice,MATCH(B115,whName,0))),"",INDEX(whPrice,MATCH(B115,whName,0)))</f>
        <v/>
      </c>
      <c r="E115" s="1" t="str">
        <f t="shared" si="6"/>
        <v/>
      </c>
    </row>
    <row r="116" spans="3:5" x14ac:dyDescent="0.25">
      <c r="C116" t="str">
        <f t="shared" si="5"/>
        <v/>
      </c>
      <c r="D116" t="str">
        <f>IF(ISERROR(INDEX(whPrice,MATCH(B116,whName,0))),"",INDEX(whPrice,MATCH(B116,whName,0)))</f>
        <v/>
      </c>
      <c r="E116" s="1" t="str">
        <f t="shared" si="6"/>
        <v/>
      </c>
    </row>
    <row r="117" spans="3:5" x14ac:dyDescent="0.25">
      <c r="C117" t="str">
        <f t="shared" si="5"/>
        <v/>
      </c>
      <c r="D117" t="str">
        <f>IF(ISERROR(INDEX(whPrice,MATCH(B117,whName,0))),"",INDEX(whPrice,MATCH(B117,whName,0)))</f>
        <v/>
      </c>
      <c r="E117" s="1" t="str">
        <f t="shared" si="6"/>
        <v/>
      </c>
    </row>
    <row r="118" spans="3:5" x14ac:dyDescent="0.25">
      <c r="C118" t="str">
        <f t="shared" si="5"/>
        <v/>
      </c>
      <c r="D118" t="str">
        <f>IF(ISERROR(INDEX(whPrice,MATCH(B118,whName,0))),"",INDEX(whPrice,MATCH(B118,whName,0)))</f>
        <v/>
      </c>
      <c r="E118" s="1" t="str">
        <f t="shared" si="6"/>
        <v/>
      </c>
    </row>
    <row r="119" spans="3:5" x14ac:dyDescent="0.25">
      <c r="C119" t="str">
        <f t="shared" si="5"/>
        <v/>
      </c>
      <c r="D119" t="str">
        <f>IF(ISERROR(INDEX(whPrice,MATCH(B119,whName,0))),"",INDEX(whPrice,MATCH(B119,whName,0)))</f>
        <v/>
      </c>
      <c r="E119" s="1" t="str">
        <f t="shared" si="6"/>
        <v/>
      </c>
    </row>
    <row r="120" spans="3:5" x14ac:dyDescent="0.25">
      <c r="C120" t="str">
        <f t="shared" si="5"/>
        <v/>
      </c>
      <c r="D120" t="str">
        <f>IF(ISERROR(INDEX(whPrice,MATCH(B120,whName,0))),"",INDEX(whPrice,MATCH(B120,whName,0)))</f>
        <v/>
      </c>
      <c r="E120" s="1" t="str">
        <f t="shared" si="6"/>
        <v/>
      </c>
    </row>
    <row r="121" spans="3:5" x14ac:dyDescent="0.25">
      <c r="C121" t="str">
        <f t="shared" si="5"/>
        <v/>
      </c>
      <c r="D121" t="str">
        <f>IF(ISERROR(INDEX(whPrice,MATCH(B121,whName,0))),"",INDEX(whPrice,MATCH(B121,whName,0)))</f>
        <v/>
      </c>
      <c r="E121" s="1" t="str">
        <f t="shared" si="6"/>
        <v/>
      </c>
    </row>
    <row r="122" spans="3:5" x14ac:dyDescent="0.25">
      <c r="C122" t="str">
        <f t="shared" si="5"/>
        <v/>
      </c>
      <c r="D122" t="str">
        <f>IF(ISERROR(INDEX(whPrice,MATCH(B122,whName,0))),"",INDEX(whPrice,MATCH(B122,whName,0)))</f>
        <v/>
      </c>
      <c r="E122" s="1" t="str">
        <f t="shared" si="6"/>
        <v/>
      </c>
    </row>
    <row r="123" spans="3:5" x14ac:dyDescent="0.25">
      <c r="C123" t="str">
        <f t="shared" si="5"/>
        <v/>
      </c>
      <c r="D123" t="str">
        <f>IF(ISERROR(INDEX(whPrice,MATCH(B123,whName,0))),"",INDEX(whPrice,MATCH(B123,whName,0)))</f>
        <v/>
      </c>
      <c r="E123" s="1" t="str">
        <f t="shared" si="6"/>
        <v/>
      </c>
    </row>
    <row r="124" spans="3:5" x14ac:dyDescent="0.25">
      <c r="C124" t="str">
        <f t="shared" si="5"/>
        <v/>
      </c>
      <c r="D124" t="str">
        <f>IF(ISERROR(INDEX(whPrice,MATCH(B124,whName,0))),"",INDEX(whPrice,MATCH(B124,whName,0)))</f>
        <v/>
      </c>
      <c r="E124" s="1" t="str">
        <f t="shared" si="6"/>
        <v/>
      </c>
    </row>
    <row r="125" spans="3:5" x14ac:dyDescent="0.25">
      <c r="C125" t="str">
        <f t="shared" si="5"/>
        <v/>
      </c>
      <c r="D125" t="str">
        <f>IF(ISERROR(INDEX(whPrice,MATCH(B125,whName,0))),"",INDEX(whPrice,MATCH(B125,whName,0)))</f>
        <v/>
      </c>
      <c r="E125" s="1" t="str">
        <f t="shared" si="6"/>
        <v/>
      </c>
    </row>
    <row r="126" spans="3:5" x14ac:dyDescent="0.25">
      <c r="C126" t="str">
        <f t="shared" si="5"/>
        <v/>
      </c>
      <c r="D126" t="str">
        <f>IF(ISERROR(INDEX(whPrice,MATCH(B126,whName,0))),"",INDEX(whPrice,MATCH(B126,whName,0)))</f>
        <v/>
      </c>
      <c r="E126" s="1" t="str">
        <f t="shared" si="6"/>
        <v/>
      </c>
    </row>
    <row r="127" spans="3:5" x14ac:dyDescent="0.25">
      <c r="C127" t="str">
        <f t="shared" ref="C127:C190" si="7">IF(ISBLANK(B127),"",1)</f>
        <v/>
      </c>
      <c r="D127" t="str">
        <f>IF(ISERROR(INDEX(whPrice,MATCH(B127,whName,0))),"",INDEX(whPrice,MATCH(B127,whName,0)))</f>
        <v/>
      </c>
      <c r="E127" s="1" t="str">
        <f t="shared" ref="E127:E180" si="8">IF(ISERROR(C127*D127),"",C127*D127)</f>
        <v/>
      </c>
    </row>
    <row r="128" spans="3:5" x14ac:dyDescent="0.25">
      <c r="C128" t="str">
        <f t="shared" si="7"/>
        <v/>
      </c>
      <c r="D128" t="str">
        <f>IF(ISERROR(INDEX(whPrice,MATCH(B128,whName,0))),"",INDEX(whPrice,MATCH(B128,whName,0)))</f>
        <v/>
      </c>
      <c r="E128" s="1" t="str">
        <f t="shared" si="8"/>
        <v/>
      </c>
    </row>
    <row r="129" spans="3:5" x14ac:dyDescent="0.25">
      <c r="C129" t="str">
        <f t="shared" si="7"/>
        <v/>
      </c>
      <c r="D129" t="str">
        <f>IF(ISERROR(INDEX(whPrice,MATCH(B129,whName,0))),"",INDEX(whPrice,MATCH(B129,whName,0)))</f>
        <v/>
      </c>
      <c r="E129" s="1" t="str">
        <f t="shared" si="8"/>
        <v/>
      </c>
    </row>
    <row r="130" spans="3:5" x14ac:dyDescent="0.25">
      <c r="C130" t="str">
        <f t="shared" si="7"/>
        <v/>
      </c>
      <c r="D130" t="str">
        <f>IF(ISERROR(INDEX(whPrice,MATCH(B130,whName,0))),"",INDEX(whPrice,MATCH(B130,whName,0)))</f>
        <v/>
      </c>
      <c r="E130" s="1" t="str">
        <f t="shared" si="8"/>
        <v/>
      </c>
    </row>
    <row r="131" spans="3:5" x14ac:dyDescent="0.25">
      <c r="C131" t="str">
        <f t="shared" si="7"/>
        <v/>
      </c>
      <c r="D131" t="str">
        <f>IF(ISERROR(INDEX(whPrice,MATCH(B131,whName,0))),"",INDEX(whPrice,MATCH(B131,whName,0)))</f>
        <v/>
      </c>
      <c r="E131" s="1" t="str">
        <f t="shared" si="8"/>
        <v/>
      </c>
    </row>
    <row r="132" spans="3:5" x14ac:dyDescent="0.25">
      <c r="C132" t="str">
        <f t="shared" si="7"/>
        <v/>
      </c>
      <c r="D132" t="str">
        <f>IF(ISERROR(INDEX(whPrice,MATCH(B132,whName,0))),"",INDEX(whPrice,MATCH(B132,whName,0)))</f>
        <v/>
      </c>
      <c r="E132" s="1" t="str">
        <f t="shared" si="8"/>
        <v/>
      </c>
    </row>
    <row r="133" spans="3:5" x14ac:dyDescent="0.25">
      <c r="C133" t="str">
        <f t="shared" si="7"/>
        <v/>
      </c>
      <c r="D133" t="str">
        <f>IF(ISERROR(INDEX(whPrice,MATCH(B133,whName,0))),"",INDEX(whPrice,MATCH(B133,whName,0)))</f>
        <v/>
      </c>
      <c r="E133" s="1" t="str">
        <f t="shared" si="8"/>
        <v/>
      </c>
    </row>
    <row r="134" spans="3:5" x14ac:dyDescent="0.25">
      <c r="C134" t="str">
        <f t="shared" si="7"/>
        <v/>
      </c>
      <c r="D134" t="str">
        <f>IF(ISERROR(INDEX(whPrice,MATCH(B134,whName,0))),"",INDEX(whPrice,MATCH(B134,whName,0)))</f>
        <v/>
      </c>
      <c r="E134" s="1" t="str">
        <f t="shared" si="8"/>
        <v/>
      </c>
    </row>
    <row r="135" spans="3:5" x14ac:dyDescent="0.25">
      <c r="C135" t="str">
        <f t="shared" si="7"/>
        <v/>
      </c>
      <c r="D135" t="str">
        <f>IF(ISERROR(INDEX(whPrice,MATCH(B135,whName,0))),"",INDEX(whPrice,MATCH(B135,whName,0)))</f>
        <v/>
      </c>
      <c r="E135" s="1" t="str">
        <f t="shared" si="8"/>
        <v/>
      </c>
    </row>
    <row r="136" spans="3:5" x14ac:dyDescent="0.25">
      <c r="C136" t="str">
        <f t="shared" si="7"/>
        <v/>
      </c>
      <c r="D136" t="str">
        <f>IF(ISERROR(INDEX(whPrice,MATCH(B136,whName,0))),"",INDEX(whPrice,MATCH(B136,whName,0)))</f>
        <v/>
      </c>
      <c r="E136" s="1" t="str">
        <f t="shared" si="8"/>
        <v/>
      </c>
    </row>
    <row r="137" spans="3:5" x14ac:dyDescent="0.25">
      <c r="C137" t="str">
        <f t="shared" si="7"/>
        <v/>
      </c>
      <c r="D137" t="str">
        <f>IF(ISERROR(INDEX(whPrice,MATCH(B137,whName,0))),"",INDEX(whPrice,MATCH(B137,whName,0)))</f>
        <v/>
      </c>
      <c r="E137" s="1" t="str">
        <f t="shared" si="8"/>
        <v/>
      </c>
    </row>
    <row r="138" spans="3:5" x14ac:dyDescent="0.25">
      <c r="C138" t="str">
        <f t="shared" si="7"/>
        <v/>
      </c>
      <c r="D138" t="str">
        <f>IF(ISERROR(INDEX(whPrice,MATCH(B138,whName,0))),"",INDEX(whPrice,MATCH(B138,whName,0)))</f>
        <v/>
      </c>
      <c r="E138" s="1" t="str">
        <f t="shared" si="8"/>
        <v/>
      </c>
    </row>
    <row r="139" spans="3:5" x14ac:dyDescent="0.25">
      <c r="C139" t="str">
        <f t="shared" si="7"/>
        <v/>
      </c>
      <c r="D139" t="str">
        <f>IF(ISERROR(INDEX(whPrice,MATCH(B139,whName,0))),"",INDEX(whPrice,MATCH(B139,whName,0)))</f>
        <v/>
      </c>
      <c r="E139" s="1" t="str">
        <f t="shared" si="8"/>
        <v/>
      </c>
    </row>
    <row r="140" spans="3:5" x14ac:dyDescent="0.25">
      <c r="C140" t="str">
        <f t="shared" si="7"/>
        <v/>
      </c>
      <c r="D140" t="str">
        <f>IF(ISERROR(INDEX(whPrice,MATCH(B140,whName,0))),"",INDEX(whPrice,MATCH(B140,whName,0)))</f>
        <v/>
      </c>
      <c r="E140" s="1" t="str">
        <f t="shared" si="8"/>
        <v/>
      </c>
    </row>
    <row r="141" spans="3:5" x14ac:dyDescent="0.25">
      <c r="C141" t="str">
        <f t="shared" si="7"/>
        <v/>
      </c>
      <c r="D141" t="str">
        <f>IF(ISERROR(INDEX(whPrice,MATCH(B141,whName,0))),"",INDEX(whPrice,MATCH(B141,whName,0)))</f>
        <v/>
      </c>
      <c r="E141" s="1" t="str">
        <f t="shared" si="8"/>
        <v/>
      </c>
    </row>
    <row r="142" spans="3:5" x14ac:dyDescent="0.25">
      <c r="C142" t="str">
        <f t="shared" si="7"/>
        <v/>
      </c>
      <c r="D142" t="str">
        <f>IF(ISERROR(INDEX(whPrice,MATCH(B142,whName,0))),"",INDEX(whPrice,MATCH(B142,whName,0)))</f>
        <v/>
      </c>
      <c r="E142" s="1" t="str">
        <f t="shared" si="8"/>
        <v/>
      </c>
    </row>
    <row r="143" spans="3:5" x14ac:dyDescent="0.25">
      <c r="C143" t="str">
        <f t="shared" si="7"/>
        <v/>
      </c>
      <c r="D143" t="str">
        <f>IF(ISERROR(INDEX(whPrice,MATCH(B143,whName,0))),"",INDEX(whPrice,MATCH(B143,whName,0)))</f>
        <v/>
      </c>
      <c r="E143" s="1" t="str">
        <f t="shared" si="8"/>
        <v/>
      </c>
    </row>
    <row r="144" spans="3:5" x14ac:dyDescent="0.25">
      <c r="C144" t="str">
        <f t="shared" si="7"/>
        <v/>
      </c>
      <c r="D144" t="str">
        <f>IF(ISERROR(INDEX(whPrice,MATCH(B144,whName,0))),"",INDEX(whPrice,MATCH(B144,whName,0)))</f>
        <v/>
      </c>
      <c r="E144" s="1" t="str">
        <f t="shared" si="8"/>
        <v/>
      </c>
    </row>
    <row r="145" spans="3:5" x14ac:dyDescent="0.25">
      <c r="C145" t="str">
        <f t="shared" si="7"/>
        <v/>
      </c>
      <c r="D145" t="str">
        <f>IF(ISERROR(INDEX(whPrice,MATCH(B145,whName,0))),"",INDEX(whPrice,MATCH(B145,whName,0)))</f>
        <v/>
      </c>
      <c r="E145" s="1" t="str">
        <f t="shared" si="8"/>
        <v/>
      </c>
    </row>
    <row r="146" spans="3:5" x14ac:dyDescent="0.25">
      <c r="C146" t="str">
        <f t="shared" si="7"/>
        <v/>
      </c>
      <c r="D146" t="str">
        <f>IF(ISERROR(INDEX(whPrice,MATCH(B146,whName,0))),"",INDEX(whPrice,MATCH(B146,whName,0)))</f>
        <v/>
      </c>
      <c r="E146" s="1" t="str">
        <f t="shared" si="8"/>
        <v/>
      </c>
    </row>
    <row r="147" spans="3:5" x14ac:dyDescent="0.25">
      <c r="C147" t="str">
        <f t="shared" si="7"/>
        <v/>
      </c>
      <c r="D147" t="str">
        <f>IF(ISERROR(INDEX(whPrice,MATCH(B147,whName,0))),"",INDEX(whPrice,MATCH(B147,whName,0)))</f>
        <v/>
      </c>
      <c r="E147" s="1" t="str">
        <f t="shared" si="8"/>
        <v/>
      </c>
    </row>
    <row r="148" spans="3:5" x14ac:dyDescent="0.25">
      <c r="C148" t="str">
        <f t="shared" si="7"/>
        <v/>
      </c>
      <c r="D148" t="str">
        <f>IF(ISERROR(INDEX(whPrice,MATCH(B148,whName,0))),"",INDEX(whPrice,MATCH(B148,whName,0)))</f>
        <v/>
      </c>
      <c r="E148" s="1" t="str">
        <f t="shared" si="8"/>
        <v/>
      </c>
    </row>
    <row r="149" spans="3:5" x14ac:dyDescent="0.25">
      <c r="C149" t="str">
        <f t="shared" si="7"/>
        <v/>
      </c>
      <c r="D149" t="str">
        <f>IF(ISERROR(INDEX(whPrice,MATCH(B149,whName,0))),"",INDEX(whPrice,MATCH(B149,whName,0)))</f>
        <v/>
      </c>
      <c r="E149" s="1" t="str">
        <f t="shared" si="8"/>
        <v/>
      </c>
    </row>
    <row r="150" spans="3:5" x14ac:dyDescent="0.25">
      <c r="C150" t="str">
        <f t="shared" si="7"/>
        <v/>
      </c>
      <c r="D150" t="str">
        <f>IF(ISERROR(INDEX(whPrice,MATCH(B150,whName,0))),"",INDEX(whPrice,MATCH(B150,whName,0)))</f>
        <v/>
      </c>
      <c r="E150" s="1" t="str">
        <f t="shared" si="8"/>
        <v/>
      </c>
    </row>
    <row r="151" spans="3:5" x14ac:dyDescent="0.25">
      <c r="C151" t="str">
        <f t="shared" si="7"/>
        <v/>
      </c>
      <c r="D151" t="str">
        <f>IF(ISERROR(INDEX(whPrice,MATCH(B151,whName,0))),"",INDEX(whPrice,MATCH(B151,whName,0)))</f>
        <v/>
      </c>
      <c r="E151" s="1" t="str">
        <f t="shared" si="8"/>
        <v/>
      </c>
    </row>
    <row r="152" spans="3:5" x14ac:dyDescent="0.25">
      <c r="C152" t="str">
        <f t="shared" si="7"/>
        <v/>
      </c>
      <c r="D152" t="str">
        <f>IF(ISERROR(INDEX(whPrice,MATCH(B152,whName,0))),"",INDEX(whPrice,MATCH(B152,whName,0)))</f>
        <v/>
      </c>
      <c r="E152" s="1" t="str">
        <f t="shared" si="8"/>
        <v/>
      </c>
    </row>
    <row r="153" spans="3:5" x14ac:dyDescent="0.25">
      <c r="C153" t="str">
        <f t="shared" si="7"/>
        <v/>
      </c>
      <c r="D153" t="str">
        <f>IF(ISERROR(INDEX(whPrice,MATCH(B153,whName,0))),"",INDEX(whPrice,MATCH(B153,whName,0)))</f>
        <v/>
      </c>
      <c r="E153" s="1" t="str">
        <f t="shared" si="8"/>
        <v/>
      </c>
    </row>
    <row r="154" spans="3:5" x14ac:dyDescent="0.25">
      <c r="C154" t="str">
        <f t="shared" si="7"/>
        <v/>
      </c>
      <c r="D154" t="str">
        <f>IF(ISERROR(INDEX(whPrice,MATCH(B154,whName,0))),"",INDEX(whPrice,MATCH(B154,whName,0)))</f>
        <v/>
      </c>
      <c r="E154" s="1" t="str">
        <f t="shared" si="8"/>
        <v/>
      </c>
    </row>
    <row r="155" spans="3:5" x14ac:dyDescent="0.25">
      <c r="C155" t="str">
        <f t="shared" si="7"/>
        <v/>
      </c>
      <c r="D155" t="str">
        <f>IF(ISERROR(INDEX(whPrice,MATCH(B155,whName,0))),"",INDEX(whPrice,MATCH(B155,whName,0)))</f>
        <v/>
      </c>
      <c r="E155" s="1" t="str">
        <f t="shared" si="8"/>
        <v/>
      </c>
    </row>
    <row r="156" spans="3:5" x14ac:dyDescent="0.25">
      <c r="C156" t="str">
        <f t="shared" si="7"/>
        <v/>
      </c>
      <c r="D156" t="str">
        <f>IF(ISERROR(INDEX(whPrice,MATCH(B156,whName,0))),"",INDEX(whPrice,MATCH(B156,whName,0)))</f>
        <v/>
      </c>
      <c r="E156" s="1" t="str">
        <f t="shared" si="8"/>
        <v/>
      </c>
    </row>
    <row r="157" spans="3:5" x14ac:dyDescent="0.25">
      <c r="C157" t="str">
        <f t="shared" si="7"/>
        <v/>
      </c>
      <c r="D157" t="str">
        <f>IF(ISERROR(INDEX(whPrice,MATCH(B157,whName,0))),"",INDEX(whPrice,MATCH(B157,whName,0)))</f>
        <v/>
      </c>
      <c r="E157" s="1" t="str">
        <f t="shared" si="8"/>
        <v/>
      </c>
    </row>
    <row r="158" spans="3:5" x14ac:dyDescent="0.25">
      <c r="C158" t="str">
        <f t="shared" si="7"/>
        <v/>
      </c>
      <c r="D158" t="str">
        <f>IF(ISERROR(INDEX(whPrice,MATCH(B158,whName,0))),"",INDEX(whPrice,MATCH(B158,whName,0)))</f>
        <v/>
      </c>
      <c r="E158" s="1" t="str">
        <f t="shared" si="8"/>
        <v/>
      </c>
    </row>
    <row r="159" spans="3:5" x14ac:dyDescent="0.25">
      <c r="C159" t="str">
        <f t="shared" si="7"/>
        <v/>
      </c>
      <c r="D159" t="str">
        <f>IF(ISERROR(INDEX(whPrice,MATCH(B159,whName,0))),"",INDEX(whPrice,MATCH(B159,whName,0)))</f>
        <v/>
      </c>
      <c r="E159" s="1" t="str">
        <f t="shared" si="8"/>
        <v/>
      </c>
    </row>
    <row r="160" spans="3:5" x14ac:dyDescent="0.25">
      <c r="C160" t="str">
        <f t="shared" si="7"/>
        <v/>
      </c>
      <c r="D160" t="str">
        <f>IF(ISERROR(INDEX(whPrice,MATCH(B160,whName,0))),"",INDEX(whPrice,MATCH(B160,whName,0)))</f>
        <v/>
      </c>
      <c r="E160" s="1" t="str">
        <f t="shared" si="8"/>
        <v/>
      </c>
    </row>
    <row r="161" spans="3:5" x14ac:dyDescent="0.25">
      <c r="C161" t="str">
        <f t="shared" si="7"/>
        <v/>
      </c>
      <c r="D161" t="str">
        <f>IF(ISERROR(INDEX(whPrice,MATCH(B161,whName,0))),"",INDEX(whPrice,MATCH(B161,whName,0)))</f>
        <v/>
      </c>
      <c r="E161" s="1" t="str">
        <f t="shared" si="8"/>
        <v/>
      </c>
    </row>
    <row r="162" spans="3:5" x14ac:dyDescent="0.25">
      <c r="C162" t="str">
        <f t="shared" si="7"/>
        <v/>
      </c>
      <c r="D162" t="str">
        <f>IF(ISERROR(INDEX(whPrice,MATCH(B162,whName,0))),"",INDEX(whPrice,MATCH(B162,whName,0)))</f>
        <v/>
      </c>
      <c r="E162" s="1" t="str">
        <f t="shared" si="8"/>
        <v/>
      </c>
    </row>
    <row r="163" spans="3:5" x14ac:dyDescent="0.25">
      <c r="C163" t="str">
        <f t="shared" si="7"/>
        <v/>
      </c>
      <c r="D163" t="str">
        <f>IF(ISERROR(INDEX(whPrice,MATCH(B163,whName,0))),"",INDEX(whPrice,MATCH(B163,whName,0)))</f>
        <v/>
      </c>
      <c r="E163" s="1" t="str">
        <f t="shared" si="8"/>
        <v/>
      </c>
    </row>
    <row r="164" spans="3:5" x14ac:dyDescent="0.25">
      <c r="C164" t="str">
        <f t="shared" si="7"/>
        <v/>
      </c>
      <c r="D164" t="str">
        <f>IF(ISERROR(INDEX(whPrice,MATCH(B164,whName,0))),"",INDEX(whPrice,MATCH(B164,whName,0)))</f>
        <v/>
      </c>
      <c r="E164" s="1" t="str">
        <f t="shared" si="8"/>
        <v/>
      </c>
    </row>
    <row r="165" spans="3:5" x14ac:dyDescent="0.25">
      <c r="C165" t="str">
        <f t="shared" si="7"/>
        <v/>
      </c>
      <c r="D165" t="str">
        <f>IF(ISERROR(INDEX(whPrice,MATCH(B165,whName,0))),"",INDEX(whPrice,MATCH(B165,whName,0)))</f>
        <v/>
      </c>
      <c r="E165" s="1" t="str">
        <f t="shared" si="8"/>
        <v/>
      </c>
    </row>
    <row r="166" spans="3:5" x14ac:dyDescent="0.25">
      <c r="C166" t="str">
        <f t="shared" si="7"/>
        <v/>
      </c>
      <c r="D166" t="str">
        <f>IF(ISERROR(INDEX(whPrice,MATCH(B166,whName,0))),"",INDEX(whPrice,MATCH(B166,whName,0)))</f>
        <v/>
      </c>
      <c r="E166" s="1" t="str">
        <f t="shared" si="8"/>
        <v/>
      </c>
    </row>
    <row r="167" spans="3:5" x14ac:dyDescent="0.25">
      <c r="C167" t="str">
        <f t="shared" si="7"/>
        <v/>
      </c>
      <c r="D167" t="str">
        <f>IF(ISERROR(INDEX(whPrice,MATCH(B167,whName,0))),"",INDEX(whPrice,MATCH(B167,whName,0)))</f>
        <v/>
      </c>
      <c r="E167" s="1" t="str">
        <f t="shared" si="8"/>
        <v/>
      </c>
    </row>
    <row r="168" spans="3:5" x14ac:dyDescent="0.25">
      <c r="C168" t="str">
        <f t="shared" si="7"/>
        <v/>
      </c>
      <c r="D168" t="str">
        <f>IF(ISERROR(INDEX(whPrice,MATCH(B168,whName,0))),"",INDEX(whPrice,MATCH(B168,whName,0)))</f>
        <v/>
      </c>
      <c r="E168" s="1" t="str">
        <f t="shared" si="8"/>
        <v/>
      </c>
    </row>
    <row r="169" spans="3:5" x14ac:dyDescent="0.25">
      <c r="C169" t="str">
        <f t="shared" si="7"/>
        <v/>
      </c>
      <c r="D169" t="str">
        <f>IF(ISERROR(INDEX(whPrice,MATCH(B169,whName,0))),"",INDEX(whPrice,MATCH(B169,whName,0)))</f>
        <v/>
      </c>
      <c r="E169" s="1" t="str">
        <f t="shared" si="8"/>
        <v/>
      </c>
    </row>
    <row r="170" spans="3:5" x14ac:dyDescent="0.25">
      <c r="C170" t="str">
        <f t="shared" si="7"/>
        <v/>
      </c>
      <c r="D170" t="str">
        <f>IF(ISERROR(INDEX(whPrice,MATCH(B170,whName,0))),"",INDEX(whPrice,MATCH(B170,whName,0)))</f>
        <v/>
      </c>
      <c r="E170" s="1" t="str">
        <f t="shared" si="8"/>
        <v/>
      </c>
    </row>
    <row r="171" spans="3:5" x14ac:dyDescent="0.25">
      <c r="C171" t="str">
        <f t="shared" si="7"/>
        <v/>
      </c>
      <c r="D171" t="str">
        <f>IF(ISERROR(INDEX(whPrice,MATCH(B171,whName,0))),"",INDEX(whPrice,MATCH(B171,whName,0)))</f>
        <v/>
      </c>
      <c r="E171" s="1" t="str">
        <f t="shared" si="8"/>
        <v/>
      </c>
    </row>
    <row r="172" spans="3:5" x14ac:dyDescent="0.25">
      <c r="C172" t="str">
        <f t="shared" si="7"/>
        <v/>
      </c>
      <c r="D172" t="str">
        <f>IF(ISERROR(INDEX(whPrice,MATCH(B172,whName,0))),"",INDEX(whPrice,MATCH(B172,whName,0)))</f>
        <v/>
      </c>
      <c r="E172" s="1" t="str">
        <f t="shared" si="8"/>
        <v/>
      </c>
    </row>
    <row r="173" spans="3:5" x14ac:dyDescent="0.25">
      <c r="C173" t="str">
        <f t="shared" si="7"/>
        <v/>
      </c>
      <c r="D173" t="str">
        <f>IF(ISERROR(INDEX(whPrice,MATCH(B173,whName,0))),"",INDEX(whPrice,MATCH(B173,whName,0)))</f>
        <v/>
      </c>
      <c r="E173" s="1" t="str">
        <f t="shared" si="8"/>
        <v/>
      </c>
    </row>
    <row r="174" spans="3:5" x14ac:dyDescent="0.25">
      <c r="C174" t="str">
        <f t="shared" si="7"/>
        <v/>
      </c>
      <c r="D174" t="str">
        <f>IF(ISERROR(INDEX(whPrice,MATCH(B174,whName,0))),"",INDEX(whPrice,MATCH(B174,whName,0)))</f>
        <v/>
      </c>
      <c r="E174" s="1" t="str">
        <f t="shared" si="8"/>
        <v/>
      </c>
    </row>
    <row r="175" spans="3:5" x14ac:dyDescent="0.25">
      <c r="C175" t="str">
        <f t="shared" si="7"/>
        <v/>
      </c>
      <c r="D175" t="str">
        <f>IF(ISERROR(INDEX(whPrice,MATCH(B175,whName,0))),"",INDEX(whPrice,MATCH(B175,whName,0)))</f>
        <v/>
      </c>
      <c r="E175" s="1" t="str">
        <f t="shared" si="8"/>
        <v/>
      </c>
    </row>
    <row r="176" spans="3:5" x14ac:dyDescent="0.25">
      <c r="C176" t="str">
        <f t="shared" si="7"/>
        <v/>
      </c>
      <c r="D176" t="str">
        <f>IF(ISERROR(INDEX(whPrice,MATCH(B176,whName,0))),"",INDEX(whPrice,MATCH(B176,whName,0)))</f>
        <v/>
      </c>
      <c r="E176" s="1" t="str">
        <f t="shared" si="8"/>
        <v/>
      </c>
    </row>
    <row r="177" spans="3:5" x14ac:dyDescent="0.25">
      <c r="C177" t="str">
        <f t="shared" si="7"/>
        <v/>
      </c>
      <c r="D177" t="str">
        <f>IF(ISERROR(INDEX(whPrice,MATCH(B177,whName,0))),"",INDEX(whPrice,MATCH(B177,whName,0)))</f>
        <v/>
      </c>
      <c r="E177" s="1" t="str">
        <f t="shared" si="8"/>
        <v/>
      </c>
    </row>
    <row r="178" spans="3:5" x14ac:dyDescent="0.25">
      <c r="C178" t="str">
        <f t="shared" si="7"/>
        <v/>
      </c>
      <c r="D178" t="str">
        <f>IF(ISERROR(INDEX(whPrice,MATCH(B178,whName,0))),"",INDEX(whPrice,MATCH(B178,whName,0)))</f>
        <v/>
      </c>
      <c r="E178" s="1" t="str">
        <f t="shared" si="8"/>
        <v/>
      </c>
    </row>
    <row r="179" spans="3:5" x14ac:dyDescent="0.25">
      <c r="C179" t="str">
        <f t="shared" si="7"/>
        <v/>
      </c>
      <c r="D179" t="str">
        <f>IF(ISERROR(INDEX(whPrice,MATCH(B179,whName,0))),"",INDEX(whPrice,MATCH(B179,whName,0)))</f>
        <v/>
      </c>
      <c r="E179" s="1" t="str">
        <f t="shared" si="8"/>
        <v/>
      </c>
    </row>
    <row r="180" spans="3:5" x14ac:dyDescent="0.25">
      <c r="C180" t="str">
        <f t="shared" si="7"/>
        <v/>
      </c>
      <c r="D180" t="str">
        <f>IF(ISERROR(INDEX(whPrice,MATCH(B180,whName,0))),"",INDEX(whPrice,MATCH(B180,whName,0)))</f>
        <v/>
      </c>
      <c r="E180" s="1" t="str">
        <f t="shared" si="8"/>
        <v/>
      </c>
    </row>
    <row r="181" spans="3:5" x14ac:dyDescent="0.25">
      <c r="C181" t="str">
        <f t="shared" si="7"/>
        <v/>
      </c>
      <c r="D181" t="str">
        <f>IF(ISERROR(INDEX(whPrice,MATCH(B181,whName,0))),"",INDEX(whPrice,MATCH(B181,whName,0)))</f>
        <v/>
      </c>
    </row>
    <row r="182" spans="3:5" x14ac:dyDescent="0.25">
      <c r="C182" t="str">
        <f t="shared" si="7"/>
        <v/>
      </c>
      <c r="D182" t="str">
        <f>IF(ISERROR(INDEX(whPrice,MATCH(B182,whName,0))),"",INDEX(whPrice,MATCH(B182,whName,0)))</f>
        <v/>
      </c>
    </row>
    <row r="183" spans="3:5" x14ac:dyDescent="0.25">
      <c r="C183" t="str">
        <f t="shared" si="7"/>
        <v/>
      </c>
      <c r="D183" t="str">
        <f>IF(ISERROR(INDEX(whPrice,MATCH(B183,whName,0))),"",INDEX(whPrice,MATCH(B183,whName,0)))</f>
        <v/>
      </c>
    </row>
    <row r="184" spans="3:5" x14ac:dyDescent="0.25">
      <c r="C184" t="str">
        <f t="shared" si="7"/>
        <v/>
      </c>
      <c r="D184" t="str">
        <f>IF(ISERROR(INDEX(whPrice,MATCH(B184,whName,0))),"",INDEX(whPrice,MATCH(B184,whName,0)))</f>
        <v/>
      </c>
    </row>
    <row r="185" spans="3:5" x14ac:dyDescent="0.25">
      <c r="C185" t="str">
        <f t="shared" si="7"/>
        <v/>
      </c>
      <c r="D185" t="str">
        <f>IF(ISERROR(INDEX(whPrice,MATCH(B185,whName,0))),"",INDEX(whPrice,MATCH(B185,whName,0)))</f>
        <v/>
      </c>
    </row>
    <row r="186" spans="3:5" x14ac:dyDescent="0.25">
      <c r="C186" t="str">
        <f t="shared" si="7"/>
        <v/>
      </c>
      <c r="D186" t="str">
        <f>IF(ISERROR(INDEX(whPrice,MATCH(B186,whName,0))),"",INDEX(whPrice,MATCH(B186,whName,0)))</f>
        <v/>
      </c>
    </row>
    <row r="187" spans="3:5" x14ac:dyDescent="0.25">
      <c r="C187" t="str">
        <f t="shared" si="7"/>
        <v/>
      </c>
      <c r="D187" t="str">
        <f>IF(ISERROR(INDEX(whPrice,MATCH(B187,whName,0))),"",INDEX(whPrice,MATCH(B187,whName,0)))</f>
        <v/>
      </c>
    </row>
    <row r="188" spans="3:5" x14ac:dyDescent="0.25">
      <c r="C188" t="str">
        <f t="shared" si="7"/>
        <v/>
      </c>
      <c r="D188" t="str">
        <f>IF(ISERROR(INDEX(whPrice,MATCH(B188,whName,0))),"",INDEX(whPrice,MATCH(B188,whName,0)))</f>
        <v/>
      </c>
    </row>
    <row r="189" spans="3:5" x14ac:dyDescent="0.25">
      <c r="C189" t="str">
        <f t="shared" si="7"/>
        <v/>
      </c>
      <c r="D189" t="str">
        <f>IF(ISERROR(INDEX(whPrice,MATCH(B189,whName,0))),"",INDEX(whPrice,MATCH(B189,whName,0)))</f>
        <v/>
      </c>
    </row>
    <row r="190" spans="3:5" x14ac:dyDescent="0.25">
      <c r="C190" t="str">
        <f t="shared" si="7"/>
        <v/>
      </c>
      <c r="D190" t="str">
        <f>IF(ISERROR(INDEX(whPrice,MATCH(B190,whName,0))),"",INDEX(whPrice,MATCH(B190,whName,0)))</f>
        <v/>
      </c>
    </row>
    <row r="191" spans="3:5" x14ac:dyDescent="0.25">
      <c r="C191" t="str">
        <f t="shared" ref="C191:C254" si="9">IF(ISBLANK(B191),"",1)</f>
        <v/>
      </c>
      <c r="D191" t="str">
        <f>IF(ISERROR(INDEX(whPrice,MATCH(B191,whName,0))),"",INDEX(whPrice,MATCH(B191,whName,0)))</f>
        <v/>
      </c>
    </row>
    <row r="192" spans="3:5" x14ac:dyDescent="0.25">
      <c r="C192" t="str">
        <f t="shared" si="9"/>
        <v/>
      </c>
      <c r="D192" t="str">
        <f>IF(ISERROR(INDEX(whPrice,MATCH(B192,whName,0))),"",INDEX(whPrice,MATCH(B192,whName,0)))</f>
        <v/>
      </c>
    </row>
    <row r="193" spans="3:4" x14ac:dyDescent="0.25">
      <c r="C193" t="str">
        <f t="shared" si="9"/>
        <v/>
      </c>
      <c r="D193" t="str">
        <f>IF(ISERROR(INDEX(whPrice,MATCH(B193,whName,0))),"",INDEX(whPrice,MATCH(B193,whName,0)))</f>
        <v/>
      </c>
    </row>
    <row r="194" spans="3:4" x14ac:dyDescent="0.25">
      <c r="C194" t="str">
        <f t="shared" si="9"/>
        <v/>
      </c>
      <c r="D194" t="str">
        <f>IF(ISERROR(INDEX(whPrice,MATCH(B194,whName,0))),"",INDEX(whPrice,MATCH(B194,whName,0)))</f>
        <v/>
      </c>
    </row>
    <row r="195" spans="3:4" x14ac:dyDescent="0.25">
      <c r="C195" t="str">
        <f t="shared" si="9"/>
        <v/>
      </c>
      <c r="D195" t="str">
        <f>IF(ISERROR(INDEX(whPrice,MATCH(B195,whName,0))),"",INDEX(whPrice,MATCH(B195,whName,0)))</f>
        <v/>
      </c>
    </row>
    <row r="196" spans="3:4" x14ac:dyDescent="0.25">
      <c r="C196" t="str">
        <f t="shared" si="9"/>
        <v/>
      </c>
      <c r="D196" t="str">
        <f>IF(ISERROR(INDEX(whPrice,MATCH(B196,whName,0))),"",INDEX(whPrice,MATCH(B196,whName,0)))</f>
        <v/>
      </c>
    </row>
    <row r="197" spans="3:4" x14ac:dyDescent="0.25">
      <c r="C197" t="str">
        <f t="shared" si="9"/>
        <v/>
      </c>
      <c r="D197" t="str">
        <f>IF(ISERROR(INDEX(whPrice,MATCH(B197,whName,0))),"",INDEX(whPrice,MATCH(B197,whName,0)))</f>
        <v/>
      </c>
    </row>
    <row r="198" spans="3:4" x14ac:dyDescent="0.25">
      <c r="C198" t="str">
        <f t="shared" si="9"/>
        <v/>
      </c>
      <c r="D198" t="str">
        <f>IF(ISERROR(INDEX(whPrice,MATCH(B198,whName,0))),"",INDEX(whPrice,MATCH(B198,whName,0)))</f>
        <v/>
      </c>
    </row>
    <row r="199" spans="3:4" x14ac:dyDescent="0.25">
      <c r="C199" t="str">
        <f t="shared" si="9"/>
        <v/>
      </c>
      <c r="D199" t="str">
        <f>IF(ISERROR(INDEX(whPrice,MATCH(B199,whName,0))),"",INDEX(whPrice,MATCH(B199,whName,0)))</f>
        <v/>
      </c>
    </row>
    <row r="200" spans="3:4" x14ac:dyDescent="0.25">
      <c r="C200" t="str">
        <f t="shared" si="9"/>
        <v/>
      </c>
      <c r="D200" t="str">
        <f>IF(ISERROR(INDEX(whPrice,MATCH(B200,whName,0))),"",INDEX(whPrice,MATCH(B200,whName,0)))</f>
        <v/>
      </c>
    </row>
    <row r="201" spans="3:4" x14ac:dyDescent="0.25">
      <c r="C201" t="str">
        <f t="shared" si="9"/>
        <v/>
      </c>
      <c r="D201" t="str">
        <f>IF(ISERROR(INDEX(whPrice,MATCH(B201,whName,0))),"",INDEX(whPrice,MATCH(B201,whName,0)))</f>
        <v/>
      </c>
    </row>
    <row r="202" spans="3:4" x14ac:dyDescent="0.25">
      <c r="C202" t="str">
        <f t="shared" si="9"/>
        <v/>
      </c>
      <c r="D202" t="str">
        <f>IF(ISERROR(INDEX(whPrice,MATCH(B202,whName,0))),"",INDEX(whPrice,MATCH(B202,whName,0)))</f>
        <v/>
      </c>
    </row>
    <row r="203" spans="3:4" x14ac:dyDescent="0.25">
      <c r="C203" t="str">
        <f t="shared" si="9"/>
        <v/>
      </c>
      <c r="D203" t="str">
        <f>IF(ISERROR(INDEX(whPrice,MATCH(B203,whName,0))),"",INDEX(whPrice,MATCH(B203,whName,0)))</f>
        <v/>
      </c>
    </row>
    <row r="204" spans="3:4" x14ac:dyDescent="0.25">
      <c r="C204" t="str">
        <f t="shared" si="9"/>
        <v/>
      </c>
      <c r="D204" t="str">
        <f>IF(ISERROR(INDEX(whPrice,MATCH(B204,whName,0))),"",INDEX(whPrice,MATCH(B204,whName,0)))</f>
        <v/>
      </c>
    </row>
    <row r="205" spans="3:4" x14ac:dyDescent="0.25">
      <c r="C205" t="str">
        <f t="shared" si="9"/>
        <v/>
      </c>
      <c r="D205" t="str">
        <f>IF(ISERROR(INDEX(whPrice,MATCH(B205,whName,0))),"",INDEX(whPrice,MATCH(B205,whName,0)))</f>
        <v/>
      </c>
    </row>
    <row r="206" spans="3:4" x14ac:dyDescent="0.25">
      <c r="C206" t="str">
        <f t="shared" si="9"/>
        <v/>
      </c>
      <c r="D206" t="str">
        <f>IF(ISERROR(INDEX(whPrice,MATCH(B206,whName,0))),"",INDEX(whPrice,MATCH(B206,whName,0)))</f>
        <v/>
      </c>
    </row>
    <row r="207" spans="3:4" x14ac:dyDescent="0.25">
      <c r="C207" t="str">
        <f t="shared" si="9"/>
        <v/>
      </c>
      <c r="D207" t="str">
        <f>IF(ISERROR(INDEX(whPrice,MATCH(B207,whName,0))),"",INDEX(whPrice,MATCH(B207,whName,0)))</f>
        <v/>
      </c>
    </row>
    <row r="208" spans="3:4" x14ac:dyDescent="0.25">
      <c r="C208" t="str">
        <f t="shared" si="9"/>
        <v/>
      </c>
      <c r="D208" t="str">
        <f>IF(ISERROR(INDEX(whPrice,MATCH(B208,whName,0))),"",INDEX(whPrice,MATCH(B208,whName,0)))</f>
        <v/>
      </c>
    </row>
    <row r="209" spans="3:4" x14ac:dyDescent="0.25">
      <c r="C209" t="str">
        <f t="shared" si="9"/>
        <v/>
      </c>
      <c r="D209" t="str">
        <f>IF(ISERROR(INDEX(whPrice,MATCH(B209,whName,0))),"",INDEX(whPrice,MATCH(B209,whName,0)))</f>
        <v/>
      </c>
    </row>
    <row r="210" spans="3:4" x14ac:dyDescent="0.25">
      <c r="C210" t="str">
        <f t="shared" si="9"/>
        <v/>
      </c>
      <c r="D210" t="str">
        <f>IF(ISERROR(INDEX(whPrice,MATCH(B210,whName,0))),"",INDEX(whPrice,MATCH(B210,whName,0)))</f>
        <v/>
      </c>
    </row>
    <row r="211" spans="3:4" x14ac:dyDescent="0.25">
      <c r="C211" t="str">
        <f t="shared" si="9"/>
        <v/>
      </c>
      <c r="D211" t="str">
        <f>IF(ISERROR(INDEX(whPrice,MATCH(B211,whName,0))),"",INDEX(whPrice,MATCH(B211,whName,0)))</f>
        <v/>
      </c>
    </row>
    <row r="212" spans="3:4" x14ac:dyDescent="0.25">
      <c r="C212" t="str">
        <f t="shared" si="9"/>
        <v/>
      </c>
      <c r="D212" t="str">
        <f>IF(ISERROR(INDEX(whPrice,MATCH(B212,whName,0))),"",INDEX(whPrice,MATCH(B212,whName,0)))</f>
        <v/>
      </c>
    </row>
    <row r="213" spans="3:4" x14ac:dyDescent="0.25">
      <c r="C213" t="str">
        <f t="shared" si="9"/>
        <v/>
      </c>
      <c r="D213" t="str">
        <f>IF(ISERROR(INDEX(whPrice,MATCH(B213,whName,0))),"",INDEX(whPrice,MATCH(B213,whName,0)))</f>
        <v/>
      </c>
    </row>
    <row r="214" spans="3:4" x14ac:dyDescent="0.25">
      <c r="C214" t="str">
        <f t="shared" si="9"/>
        <v/>
      </c>
    </row>
    <row r="215" spans="3:4" x14ac:dyDescent="0.25">
      <c r="C215" t="str">
        <f t="shared" si="9"/>
        <v/>
      </c>
    </row>
    <row r="216" spans="3:4" x14ac:dyDescent="0.25">
      <c r="C216" t="str">
        <f t="shared" si="9"/>
        <v/>
      </c>
    </row>
    <row r="217" spans="3:4" x14ac:dyDescent="0.25">
      <c r="C217" t="str">
        <f t="shared" si="9"/>
        <v/>
      </c>
    </row>
    <row r="218" spans="3:4" x14ac:dyDescent="0.25">
      <c r="C218" t="str">
        <f t="shared" si="9"/>
        <v/>
      </c>
    </row>
    <row r="219" spans="3:4" x14ac:dyDescent="0.25">
      <c r="C219" t="str">
        <f t="shared" si="9"/>
        <v/>
      </c>
    </row>
    <row r="220" spans="3:4" x14ac:dyDescent="0.25">
      <c r="C220" t="str">
        <f t="shared" si="9"/>
        <v/>
      </c>
    </row>
    <row r="221" spans="3:4" x14ac:dyDescent="0.25">
      <c r="C221" t="str">
        <f t="shared" si="9"/>
        <v/>
      </c>
    </row>
    <row r="222" spans="3:4" x14ac:dyDescent="0.25">
      <c r="C222" t="str">
        <f t="shared" si="9"/>
        <v/>
      </c>
    </row>
    <row r="223" spans="3:4" x14ac:dyDescent="0.25">
      <c r="C223" t="str">
        <f t="shared" si="9"/>
        <v/>
      </c>
    </row>
    <row r="224" spans="3:4" x14ac:dyDescent="0.25">
      <c r="C224" t="str">
        <f t="shared" si="9"/>
        <v/>
      </c>
    </row>
    <row r="225" spans="3:3" x14ac:dyDescent="0.25">
      <c r="C225" t="str">
        <f t="shared" si="9"/>
        <v/>
      </c>
    </row>
    <row r="226" spans="3:3" x14ac:dyDescent="0.25">
      <c r="C226" t="str">
        <f t="shared" si="9"/>
        <v/>
      </c>
    </row>
    <row r="227" spans="3:3" x14ac:dyDescent="0.25">
      <c r="C227" t="str">
        <f t="shared" si="9"/>
        <v/>
      </c>
    </row>
    <row r="228" spans="3:3" x14ac:dyDescent="0.25">
      <c r="C228" t="str">
        <f t="shared" si="9"/>
        <v/>
      </c>
    </row>
    <row r="229" spans="3:3" x14ac:dyDescent="0.25">
      <c r="C229" t="str">
        <f t="shared" si="9"/>
        <v/>
      </c>
    </row>
    <row r="230" spans="3:3" x14ac:dyDescent="0.25">
      <c r="C230" t="str">
        <f t="shared" si="9"/>
        <v/>
      </c>
    </row>
    <row r="231" spans="3:3" x14ac:dyDescent="0.25">
      <c r="C231" t="str">
        <f t="shared" si="9"/>
        <v/>
      </c>
    </row>
    <row r="232" spans="3:3" x14ac:dyDescent="0.25">
      <c r="C232" t="str">
        <f t="shared" si="9"/>
        <v/>
      </c>
    </row>
    <row r="233" spans="3:3" x14ac:dyDescent="0.25">
      <c r="C233" t="str">
        <f t="shared" si="9"/>
        <v/>
      </c>
    </row>
    <row r="234" spans="3:3" x14ac:dyDescent="0.25">
      <c r="C234" t="str">
        <f t="shared" si="9"/>
        <v/>
      </c>
    </row>
    <row r="235" spans="3:3" x14ac:dyDescent="0.25">
      <c r="C235" t="str">
        <f t="shared" si="9"/>
        <v/>
      </c>
    </row>
    <row r="236" spans="3:3" x14ac:dyDescent="0.25">
      <c r="C236" t="str">
        <f t="shared" si="9"/>
        <v/>
      </c>
    </row>
    <row r="237" spans="3:3" x14ac:dyDescent="0.25">
      <c r="C237" t="str">
        <f t="shared" si="9"/>
        <v/>
      </c>
    </row>
    <row r="238" spans="3:3" x14ac:dyDescent="0.25">
      <c r="C238" t="str">
        <f t="shared" si="9"/>
        <v/>
      </c>
    </row>
    <row r="239" spans="3:3" x14ac:dyDescent="0.25">
      <c r="C239" t="str">
        <f t="shared" si="9"/>
        <v/>
      </c>
    </row>
    <row r="240" spans="3:3" x14ac:dyDescent="0.25">
      <c r="C240" t="str">
        <f t="shared" si="9"/>
        <v/>
      </c>
    </row>
    <row r="241" spans="3:3" x14ac:dyDescent="0.25">
      <c r="C241" t="str">
        <f t="shared" si="9"/>
        <v/>
      </c>
    </row>
    <row r="242" spans="3:3" x14ac:dyDescent="0.25">
      <c r="C242" t="str">
        <f t="shared" si="9"/>
        <v/>
      </c>
    </row>
    <row r="243" spans="3:3" x14ac:dyDescent="0.25">
      <c r="C243" t="str">
        <f t="shared" si="9"/>
        <v/>
      </c>
    </row>
    <row r="244" spans="3:3" x14ac:dyDescent="0.25">
      <c r="C244" t="str">
        <f t="shared" si="9"/>
        <v/>
      </c>
    </row>
    <row r="245" spans="3:3" x14ac:dyDescent="0.25">
      <c r="C245" t="str">
        <f t="shared" si="9"/>
        <v/>
      </c>
    </row>
    <row r="246" spans="3:3" x14ac:dyDescent="0.25">
      <c r="C246" t="str">
        <f t="shared" si="9"/>
        <v/>
      </c>
    </row>
    <row r="247" spans="3:3" x14ac:dyDescent="0.25">
      <c r="C247" t="str">
        <f t="shared" si="9"/>
        <v/>
      </c>
    </row>
    <row r="248" spans="3:3" x14ac:dyDescent="0.25">
      <c r="C248" t="str">
        <f t="shared" si="9"/>
        <v/>
      </c>
    </row>
    <row r="249" spans="3:3" x14ac:dyDescent="0.25">
      <c r="C249" t="str">
        <f t="shared" si="9"/>
        <v/>
      </c>
    </row>
    <row r="250" spans="3:3" x14ac:dyDescent="0.25">
      <c r="C250" t="str">
        <f t="shared" si="9"/>
        <v/>
      </c>
    </row>
    <row r="251" spans="3:3" x14ac:dyDescent="0.25">
      <c r="C251" t="str">
        <f t="shared" si="9"/>
        <v/>
      </c>
    </row>
    <row r="252" spans="3:3" x14ac:dyDescent="0.25">
      <c r="C252" t="str">
        <f t="shared" si="9"/>
        <v/>
      </c>
    </row>
    <row r="253" spans="3:3" x14ac:dyDescent="0.25">
      <c r="C253" t="str">
        <f t="shared" si="9"/>
        <v/>
      </c>
    </row>
    <row r="254" spans="3:3" x14ac:dyDescent="0.25">
      <c r="C254" t="str">
        <f t="shared" si="9"/>
        <v/>
      </c>
    </row>
    <row r="255" spans="3:3" x14ac:dyDescent="0.25">
      <c r="C255" t="str">
        <f t="shared" ref="C255:C318" si="10">IF(ISBLANK(B255),"",1)</f>
        <v/>
      </c>
    </row>
    <row r="256" spans="3:3" x14ac:dyDescent="0.25">
      <c r="C256" t="str">
        <f t="shared" si="10"/>
        <v/>
      </c>
    </row>
    <row r="257" spans="3:3" x14ac:dyDescent="0.25">
      <c r="C257" t="str">
        <f t="shared" si="10"/>
        <v/>
      </c>
    </row>
    <row r="258" spans="3:3" x14ac:dyDescent="0.25">
      <c r="C258" t="str">
        <f t="shared" si="10"/>
        <v/>
      </c>
    </row>
    <row r="259" spans="3:3" x14ac:dyDescent="0.25">
      <c r="C259" t="str">
        <f t="shared" si="10"/>
        <v/>
      </c>
    </row>
    <row r="260" spans="3:3" x14ac:dyDescent="0.25">
      <c r="C260" t="str">
        <f t="shared" si="10"/>
        <v/>
      </c>
    </row>
    <row r="261" spans="3:3" x14ac:dyDescent="0.25">
      <c r="C261" t="str">
        <f t="shared" si="10"/>
        <v/>
      </c>
    </row>
    <row r="262" spans="3:3" x14ac:dyDescent="0.25">
      <c r="C262" t="str">
        <f t="shared" si="10"/>
        <v/>
      </c>
    </row>
    <row r="263" spans="3:3" x14ac:dyDescent="0.25">
      <c r="C263" t="str">
        <f t="shared" si="10"/>
        <v/>
      </c>
    </row>
    <row r="264" spans="3:3" x14ac:dyDescent="0.25">
      <c r="C264" t="str">
        <f t="shared" si="10"/>
        <v/>
      </c>
    </row>
    <row r="265" spans="3:3" x14ac:dyDescent="0.25">
      <c r="C265" t="str">
        <f t="shared" si="10"/>
        <v/>
      </c>
    </row>
    <row r="266" spans="3:3" x14ac:dyDescent="0.25">
      <c r="C266" t="str">
        <f t="shared" si="10"/>
        <v/>
      </c>
    </row>
    <row r="267" spans="3:3" x14ac:dyDescent="0.25">
      <c r="C267" t="str">
        <f t="shared" si="10"/>
        <v/>
      </c>
    </row>
    <row r="268" spans="3:3" x14ac:dyDescent="0.25">
      <c r="C268" t="str">
        <f t="shared" si="10"/>
        <v/>
      </c>
    </row>
    <row r="269" spans="3:3" x14ac:dyDescent="0.25">
      <c r="C269" t="str">
        <f t="shared" si="10"/>
        <v/>
      </c>
    </row>
    <row r="270" spans="3:3" x14ac:dyDescent="0.25">
      <c r="C270" t="str">
        <f t="shared" si="10"/>
        <v/>
      </c>
    </row>
    <row r="271" spans="3:3" x14ac:dyDescent="0.25">
      <c r="C271" t="str">
        <f t="shared" si="10"/>
        <v/>
      </c>
    </row>
    <row r="272" spans="3:3" x14ac:dyDescent="0.25">
      <c r="C272" t="str">
        <f t="shared" si="10"/>
        <v/>
      </c>
    </row>
    <row r="273" spans="3:3" x14ac:dyDescent="0.25">
      <c r="C273" t="str">
        <f t="shared" si="10"/>
        <v/>
      </c>
    </row>
    <row r="274" spans="3:3" x14ac:dyDescent="0.25">
      <c r="C274" t="str">
        <f t="shared" si="10"/>
        <v/>
      </c>
    </row>
    <row r="275" spans="3:3" x14ac:dyDescent="0.25">
      <c r="C275" t="str">
        <f t="shared" si="10"/>
        <v/>
      </c>
    </row>
    <row r="276" spans="3:3" x14ac:dyDescent="0.25">
      <c r="C276" t="str">
        <f t="shared" si="10"/>
        <v/>
      </c>
    </row>
    <row r="277" spans="3:3" x14ac:dyDescent="0.25">
      <c r="C277" t="str">
        <f t="shared" si="10"/>
        <v/>
      </c>
    </row>
    <row r="278" spans="3:3" x14ac:dyDescent="0.25">
      <c r="C278" t="str">
        <f t="shared" si="10"/>
        <v/>
      </c>
    </row>
    <row r="279" spans="3:3" x14ac:dyDescent="0.25">
      <c r="C279" t="str">
        <f t="shared" si="10"/>
        <v/>
      </c>
    </row>
    <row r="280" spans="3:3" x14ac:dyDescent="0.25">
      <c r="C280" t="str">
        <f t="shared" si="10"/>
        <v/>
      </c>
    </row>
    <row r="281" spans="3:3" x14ac:dyDescent="0.25">
      <c r="C281" t="str">
        <f t="shared" si="10"/>
        <v/>
      </c>
    </row>
    <row r="282" spans="3:3" x14ac:dyDescent="0.25">
      <c r="C282" t="str">
        <f t="shared" si="10"/>
        <v/>
      </c>
    </row>
    <row r="283" spans="3:3" x14ac:dyDescent="0.25">
      <c r="C283" t="str">
        <f t="shared" si="10"/>
        <v/>
      </c>
    </row>
    <row r="284" spans="3:3" x14ac:dyDescent="0.25">
      <c r="C284" t="str">
        <f t="shared" si="10"/>
        <v/>
      </c>
    </row>
    <row r="285" spans="3:3" x14ac:dyDescent="0.25">
      <c r="C285" t="str">
        <f t="shared" si="10"/>
        <v/>
      </c>
    </row>
    <row r="286" spans="3:3" x14ac:dyDescent="0.25">
      <c r="C286" t="str">
        <f t="shared" si="10"/>
        <v/>
      </c>
    </row>
    <row r="287" spans="3:3" x14ac:dyDescent="0.25">
      <c r="C287" t="str">
        <f t="shared" si="10"/>
        <v/>
      </c>
    </row>
    <row r="288" spans="3:3" x14ac:dyDescent="0.25">
      <c r="C288" t="str">
        <f t="shared" si="10"/>
        <v/>
      </c>
    </row>
    <row r="289" spans="3:3" x14ac:dyDescent="0.25">
      <c r="C289" t="str">
        <f t="shared" si="10"/>
        <v/>
      </c>
    </row>
    <row r="290" spans="3:3" x14ac:dyDescent="0.25">
      <c r="C290" t="str">
        <f t="shared" si="10"/>
        <v/>
      </c>
    </row>
    <row r="291" spans="3:3" x14ac:dyDescent="0.25">
      <c r="C291" t="str">
        <f t="shared" si="10"/>
        <v/>
      </c>
    </row>
    <row r="292" spans="3:3" x14ac:dyDescent="0.25">
      <c r="C292" t="str">
        <f t="shared" si="10"/>
        <v/>
      </c>
    </row>
    <row r="293" spans="3:3" x14ac:dyDescent="0.25">
      <c r="C293" t="str">
        <f t="shared" si="10"/>
        <v/>
      </c>
    </row>
    <row r="294" spans="3:3" x14ac:dyDescent="0.25">
      <c r="C294" t="str">
        <f t="shared" si="10"/>
        <v/>
      </c>
    </row>
    <row r="295" spans="3:3" x14ac:dyDescent="0.25">
      <c r="C295" t="str">
        <f t="shared" si="10"/>
        <v/>
      </c>
    </row>
    <row r="296" spans="3:3" x14ac:dyDescent="0.25">
      <c r="C296" t="str">
        <f t="shared" si="10"/>
        <v/>
      </c>
    </row>
    <row r="297" spans="3:3" x14ac:dyDescent="0.25">
      <c r="C297" t="str">
        <f t="shared" si="10"/>
        <v/>
      </c>
    </row>
    <row r="298" spans="3:3" x14ac:dyDescent="0.25">
      <c r="C298" t="str">
        <f t="shared" si="10"/>
        <v/>
      </c>
    </row>
    <row r="299" spans="3:3" x14ac:dyDescent="0.25">
      <c r="C299" t="str">
        <f t="shared" si="10"/>
        <v/>
      </c>
    </row>
    <row r="300" spans="3:3" x14ac:dyDescent="0.25">
      <c r="C300" t="str">
        <f t="shared" si="10"/>
        <v/>
      </c>
    </row>
    <row r="301" spans="3:3" x14ac:dyDescent="0.25">
      <c r="C301" t="str">
        <f t="shared" si="10"/>
        <v/>
      </c>
    </row>
    <row r="302" spans="3:3" x14ac:dyDescent="0.25">
      <c r="C302" t="str">
        <f t="shared" si="10"/>
        <v/>
      </c>
    </row>
    <row r="303" spans="3:3" x14ac:dyDescent="0.25">
      <c r="C303" t="str">
        <f t="shared" si="10"/>
        <v/>
      </c>
    </row>
    <row r="304" spans="3:3" x14ac:dyDescent="0.25">
      <c r="C304" t="str">
        <f t="shared" si="10"/>
        <v/>
      </c>
    </row>
    <row r="305" spans="3:3" x14ac:dyDescent="0.25">
      <c r="C305" t="str">
        <f t="shared" si="10"/>
        <v/>
      </c>
    </row>
    <row r="306" spans="3:3" x14ac:dyDescent="0.25">
      <c r="C306" t="str">
        <f t="shared" si="10"/>
        <v/>
      </c>
    </row>
    <row r="307" spans="3:3" x14ac:dyDescent="0.25">
      <c r="C307" t="str">
        <f t="shared" si="10"/>
        <v/>
      </c>
    </row>
    <row r="308" spans="3:3" x14ac:dyDescent="0.25">
      <c r="C308" t="str">
        <f t="shared" si="10"/>
        <v/>
      </c>
    </row>
    <row r="309" spans="3:3" x14ac:dyDescent="0.25">
      <c r="C309" t="str">
        <f t="shared" si="10"/>
        <v/>
      </c>
    </row>
    <row r="310" spans="3:3" x14ac:dyDescent="0.25">
      <c r="C310" t="str">
        <f t="shared" si="10"/>
        <v/>
      </c>
    </row>
    <row r="311" spans="3:3" x14ac:dyDescent="0.25">
      <c r="C311" t="str">
        <f t="shared" si="10"/>
        <v/>
      </c>
    </row>
    <row r="312" spans="3:3" x14ac:dyDescent="0.25">
      <c r="C312" t="str">
        <f t="shared" si="10"/>
        <v/>
      </c>
    </row>
    <row r="313" spans="3:3" x14ac:dyDescent="0.25">
      <c r="C313" t="str">
        <f t="shared" si="10"/>
        <v/>
      </c>
    </row>
    <row r="314" spans="3:3" x14ac:dyDescent="0.25">
      <c r="C314" t="str">
        <f t="shared" si="10"/>
        <v/>
      </c>
    </row>
    <row r="315" spans="3:3" x14ac:dyDescent="0.25">
      <c r="C315" t="str">
        <f t="shared" si="10"/>
        <v/>
      </c>
    </row>
    <row r="316" spans="3:3" x14ac:dyDescent="0.25">
      <c r="C316" t="str">
        <f t="shared" si="10"/>
        <v/>
      </c>
    </row>
    <row r="317" spans="3:3" x14ac:dyDescent="0.25">
      <c r="C317" t="str">
        <f t="shared" si="10"/>
        <v/>
      </c>
    </row>
    <row r="318" spans="3:3" x14ac:dyDescent="0.25">
      <c r="C318" t="str">
        <f t="shared" si="10"/>
        <v/>
      </c>
    </row>
    <row r="319" spans="3:3" x14ac:dyDescent="0.25">
      <c r="C319" t="str">
        <f t="shared" ref="C319:C336" si="11">IF(ISBLANK(B319),"",1)</f>
        <v/>
      </c>
    </row>
    <row r="320" spans="3:3" x14ac:dyDescent="0.25">
      <c r="C320" t="str">
        <f t="shared" si="11"/>
        <v/>
      </c>
    </row>
    <row r="321" spans="3:3" x14ac:dyDescent="0.25">
      <c r="C321" t="str">
        <f t="shared" si="11"/>
        <v/>
      </c>
    </row>
    <row r="322" spans="3:3" x14ac:dyDescent="0.25">
      <c r="C322" t="str">
        <f t="shared" si="11"/>
        <v/>
      </c>
    </row>
    <row r="323" spans="3:3" x14ac:dyDescent="0.25">
      <c r="C323" t="str">
        <f t="shared" si="11"/>
        <v/>
      </c>
    </row>
    <row r="324" spans="3:3" x14ac:dyDescent="0.25">
      <c r="C324" t="str">
        <f t="shared" si="11"/>
        <v/>
      </c>
    </row>
    <row r="325" spans="3:3" x14ac:dyDescent="0.25">
      <c r="C325" t="str">
        <f t="shared" si="11"/>
        <v/>
      </c>
    </row>
    <row r="326" spans="3:3" x14ac:dyDescent="0.25">
      <c r="C326" t="str">
        <f t="shared" si="11"/>
        <v/>
      </c>
    </row>
    <row r="327" spans="3:3" x14ac:dyDescent="0.25">
      <c r="C327" t="str">
        <f t="shared" si="11"/>
        <v/>
      </c>
    </row>
    <row r="328" spans="3:3" x14ac:dyDescent="0.25">
      <c r="C328" t="str">
        <f t="shared" si="11"/>
        <v/>
      </c>
    </row>
    <row r="329" spans="3:3" x14ac:dyDescent="0.25">
      <c r="C329" t="str">
        <f t="shared" si="11"/>
        <v/>
      </c>
    </row>
    <row r="330" spans="3:3" x14ac:dyDescent="0.25">
      <c r="C330" t="str">
        <f t="shared" si="11"/>
        <v/>
      </c>
    </row>
    <row r="331" spans="3:3" x14ac:dyDescent="0.25">
      <c r="C331" t="str">
        <f t="shared" si="11"/>
        <v/>
      </c>
    </row>
    <row r="332" spans="3:3" x14ac:dyDescent="0.25">
      <c r="C332" t="str">
        <f t="shared" si="11"/>
        <v/>
      </c>
    </row>
    <row r="333" spans="3:3" x14ac:dyDescent="0.25">
      <c r="C333" t="str">
        <f t="shared" si="11"/>
        <v/>
      </c>
    </row>
    <row r="334" spans="3:3" x14ac:dyDescent="0.25">
      <c r="C334" t="str">
        <f t="shared" si="11"/>
        <v/>
      </c>
    </row>
    <row r="335" spans="3:3" x14ac:dyDescent="0.25">
      <c r="C335" t="str">
        <f t="shared" si="11"/>
        <v/>
      </c>
    </row>
    <row r="336" spans="3:3" x14ac:dyDescent="0.25">
      <c r="C336" t="str">
        <f t="shared" si="11"/>
        <v/>
      </c>
    </row>
  </sheetData>
  <dataValidations count="1">
    <dataValidation type="custom" allowBlank="1" sqref="B2:B1048576 B1">
      <formula1>"whName"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UpdateNamedCells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762000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D108"/>
  <sheetViews>
    <sheetView workbookViewId="0">
      <selection activeCell="G19" sqref="G19"/>
    </sheetView>
  </sheetViews>
  <sheetFormatPr defaultRowHeight="15" x14ac:dyDescent="0.25"/>
  <cols>
    <col min="1" max="1" width="39.42578125" customWidth="1"/>
    <col min="2" max="2" width="11.42578125" customWidth="1"/>
    <col min="3" max="3" width="15.85546875" customWidth="1"/>
  </cols>
  <sheetData>
    <row r="5" spans="1:4" s="1" customFormat="1" x14ac:dyDescent="0.25">
      <c r="A5" s="1" t="s">
        <v>4</v>
      </c>
      <c r="B5" s="1" t="s">
        <v>5</v>
      </c>
      <c r="C5" s="1" t="s">
        <v>97</v>
      </c>
      <c r="D5" s="1" t="s">
        <v>96</v>
      </c>
    </row>
    <row r="9" spans="1:4" x14ac:dyDescent="0.25">
      <c r="A9" t="s">
        <v>8</v>
      </c>
      <c r="B9">
        <v>2</v>
      </c>
      <c r="C9" t="s">
        <v>23</v>
      </c>
      <c r="D9">
        <v>65</v>
      </c>
    </row>
    <row r="10" spans="1:4" x14ac:dyDescent="0.25">
      <c r="A10" t="s">
        <v>9</v>
      </c>
      <c r="B10">
        <v>15</v>
      </c>
      <c r="C10" t="s">
        <v>23</v>
      </c>
      <c r="D10">
        <v>65</v>
      </c>
    </row>
    <row r="11" spans="1:4" x14ac:dyDescent="0.25">
      <c r="A11" t="s">
        <v>10</v>
      </c>
      <c r="B11">
        <v>20</v>
      </c>
      <c r="C11" t="s">
        <v>23</v>
      </c>
      <c r="D11">
        <v>65</v>
      </c>
    </row>
    <row r="12" spans="1:4" x14ac:dyDescent="0.25">
      <c r="A12" t="s">
        <v>11</v>
      </c>
      <c r="B12">
        <v>12</v>
      </c>
      <c r="C12" t="s">
        <v>23</v>
      </c>
      <c r="D12">
        <v>65</v>
      </c>
    </row>
    <row r="13" spans="1:4" x14ac:dyDescent="0.25">
      <c r="A13" t="s">
        <v>12</v>
      </c>
      <c r="B13">
        <v>0</v>
      </c>
      <c r="C13" t="s">
        <v>23</v>
      </c>
      <c r="D13">
        <v>65</v>
      </c>
    </row>
    <row r="14" spans="1:4" s="2" customFormat="1" x14ac:dyDescent="0.25">
      <c r="A14" s="2" t="s">
        <v>13</v>
      </c>
      <c r="B14" s="2">
        <v>12</v>
      </c>
      <c r="C14" s="2" t="s">
        <v>23</v>
      </c>
      <c r="D14" s="2">
        <v>65</v>
      </c>
    </row>
    <row r="15" spans="1:4" x14ac:dyDescent="0.25">
      <c r="A15" t="s">
        <v>14</v>
      </c>
      <c r="B15">
        <v>25</v>
      </c>
      <c r="C15" t="s">
        <v>23</v>
      </c>
      <c r="D15">
        <v>65</v>
      </c>
    </row>
    <row r="16" spans="1:4" x14ac:dyDescent="0.25">
      <c r="A16" t="s">
        <v>71</v>
      </c>
      <c r="B16">
        <v>5</v>
      </c>
      <c r="C16" t="s">
        <v>23</v>
      </c>
      <c r="D16">
        <v>65</v>
      </c>
    </row>
    <row r="17" spans="1:4" x14ac:dyDescent="0.25">
      <c r="A17" t="s">
        <v>72</v>
      </c>
      <c r="B17">
        <v>10</v>
      </c>
      <c r="C17" t="s">
        <v>23</v>
      </c>
      <c r="D17">
        <v>65</v>
      </c>
    </row>
    <row r="18" spans="1:4" x14ac:dyDescent="0.25">
      <c r="A18" t="s">
        <v>73</v>
      </c>
      <c r="B18">
        <v>10</v>
      </c>
      <c r="C18" t="s">
        <v>23</v>
      </c>
      <c r="D18">
        <v>65</v>
      </c>
    </row>
    <row r="19" spans="1:4" x14ac:dyDescent="0.25">
      <c r="A19" t="s">
        <v>48</v>
      </c>
      <c r="B19">
        <v>15</v>
      </c>
      <c r="C19" t="s">
        <v>23</v>
      </c>
      <c r="D19">
        <v>65</v>
      </c>
    </row>
    <row r="20" spans="1:4" x14ac:dyDescent="0.25">
      <c r="A20" t="s">
        <v>15</v>
      </c>
      <c r="B20">
        <v>15</v>
      </c>
      <c r="C20" t="s">
        <v>23</v>
      </c>
      <c r="D20">
        <v>65</v>
      </c>
    </row>
    <row r="21" spans="1:4" x14ac:dyDescent="0.25">
      <c r="A21" t="s">
        <v>16</v>
      </c>
      <c r="B21">
        <v>15</v>
      </c>
      <c r="C21" t="s">
        <v>23</v>
      </c>
      <c r="D21">
        <v>65</v>
      </c>
    </row>
    <row r="22" spans="1:4" x14ac:dyDescent="0.25">
      <c r="A22" t="s">
        <v>47</v>
      </c>
      <c r="B22">
        <v>15</v>
      </c>
      <c r="C22" t="s">
        <v>23</v>
      </c>
      <c r="D22">
        <v>65</v>
      </c>
    </row>
    <row r="23" spans="1:4" x14ac:dyDescent="0.25">
      <c r="A23" t="s">
        <v>52</v>
      </c>
      <c r="B23">
        <v>20</v>
      </c>
      <c r="C23" t="s">
        <v>23</v>
      </c>
      <c r="D23">
        <v>65</v>
      </c>
    </row>
    <row r="24" spans="1:4" x14ac:dyDescent="0.25">
      <c r="A24" t="s">
        <v>49</v>
      </c>
      <c r="B24">
        <v>20</v>
      </c>
      <c r="C24" t="s">
        <v>23</v>
      </c>
      <c r="D24">
        <v>65</v>
      </c>
    </row>
    <row r="25" spans="1:4" x14ac:dyDescent="0.25">
      <c r="A25" t="s">
        <v>17</v>
      </c>
      <c r="B25">
        <v>15</v>
      </c>
      <c r="C25" t="s">
        <v>23</v>
      </c>
      <c r="D25">
        <v>65</v>
      </c>
    </row>
    <row r="26" spans="1:4" x14ac:dyDescent="0.25">
      <c r="A26" t="s">
        <v>50</v>
      </c>
      <c r="B26">
        <v>20</v>
      </c>
      <c r="C26" t="s">
        <v>23</v>
      </c>
      <c r="D26">
        <v>65</v>
      </c>
    </row>
    <row r="27" spans="1:4" x14ac:dyDescent="0.25">
      <c r="A27" t="s">
        <v>18</v>
      </c>
      <c r="B27">
        <v>15</v>
      </c>
      <c r="C27" t="s">
        <v>23</v>
      </c>
      <c r="D27">
        <v>65</v>
      </c>
    </row>
    <row r="28" spans="1:4" x14ac:dyDescent="0.25">
      <c r="A28" t="s">
        <v>51</v>
      </c>
      <c r="B28">
        <v>20</v>
      </c>
      <c r="C28" t="s">
        <v>23</v>
      </c>
      <c r="D28">
        <v>65</v>
      </c>
    </row>
    <row r="30" spans="1:4" x14ac:dyDescent="0.25">
      <c r="A30" t="s">
        <v>8</v>
      </c>
      <c r="B30">
        <v>2</v>
      </c>
      <c r="C30" t="s">
        <v>23</v>
      </c>
      <c r="D30">
        <v>73</v>
      </c>
    </row>
    <row r="31" spans="1:4" x14ac:dyDescent="0.25">
      <c r="A31" t="s">
        <v>19</v>
      </c>
      <c r="B31">
        <v>5</v>
      </c>
      <c r="C31" t="s">
        <v>23</v>
      </c>
      <c r="D31">
        <v>73</v>
      </c>
    </row>
    <row r="32" spans="1:4" x14ac:dyDescent="0.25">
      <c r="A32" t="s">
        <v>20</v>
      </c>
      <c r="B32">
        <v>10</v>
      </c>
      <c r="C32" t="s">
        <v>23</v>
      </c>
      <c r="D32">
        <v>73</v>
      </c>
    </row>
    <row r="33" spans="1:4" x14ac:dyDescent="0.25">
      <c r="A33" t="s">
        <v>21</v>
      </c>
      <c r="B33">
        <v>10</v>
      </c>
      <c r="C33" t="s">
        <v>23</v>
      </c>
      <c r="D33">
        <v>73</v>
      </c>
    </row>
    <row r="34" spans="1:4" x14ac:dyDescent="0.25">
      <c r="A34" t="s">
        <v>22</v>
      </c>
      <c r="B34">
        <v>15</v>
      </c>
      <c r="C34" t="s">
        <v>23</v>
      </c>
      <c r="D34">
        <v>73</v>
      </c>
    </row>
    <row r="35" spans="1:4" x14ac:dyDescent="0.25">
      <c r="A35" t="s">
        <v>24</v>
      </c>
      <c r="B35">
        <v>15</v>
      </c>
      <c r="C35" t="s">
        <v>23</v>
      </c>
      <c r="D35">
        <v>73</v>
      </c>
    </row>
    <row r="36" spans="1:4" x14ac:dyDescent="0.25">
      <c r="A36" t="s">
        <v>25</v>
      </c>
      <c r="B36">
        <v>20</v>
      </c>
      <c r="C36" t="s">
        <v>23</v>
      </c>
      <c r="D36">
        <v>73</v>
      </c>
    </row>
    <row r="37" spans="1:4" x14ac:dyDescent="0.25">
      <c r="A37" t="s">
        <v>26</v>
      </c>
      <c r="B37">
        <v>25</v>
      </c>
      <c r="C37" t="s">
        <v>23</v>
      </c>
      <c r="D37">
        <v>73</v>
      </c>
    </row>
    <row r="39" spans="1:4" x14ac:dyDescent="0.25">
      <c r="A39" t="s">
        <v>27</v>
      </c>
      <c r="B39">
        <v>3</v>
      </c>
      <c r="C39" t="s">
        <v>23</v>
      </c>
      <c r="D39">
        <v>68</v>
      </c>
    </row>
    <row r="40" spans="1:4" x14ac:dyDescent="0.25">
      <c r="A40" t="s">
        <v>28</v>
      </c>
      <c r="B40">
        <v>5</v>
      </c>
      <c r="C40" t="s">
        <v>23</v>
      </c>
      <c r="D40">
        <v>68</v>
      </c>
    </row>
    <row r="41" spans="1:4" x14ac:dyDescent="0.25">
      <c r="A41" t="s">
        <v>29</v>
      </c>
      <c r="B41">
        <v>5</v>
      </c>
      <c r="C41" t="s">
        <v>23</v>
      </c>
      <c r="D41">
        <v>68</v>
      </c>
    </row>
    <row r="42" spans="1:4" x14ac:dyDescent="0.25">
      <c r="A42" t="s">
        <v>30</v>
      </c>
      <c r="B42">
        <v>5</v>
      </c>
      <c r="C42" t="s">
        <v>23</v>
      </c>
      <c r="D42">
        <v>68</v>
      </c>
    </row>
    <row r="43" spans="1:4" x14ac:dyDescent="0.25">
      <c r="A43" t="s">
        <v>31</v>
      </c>
      <c r="B43">
        <v>5</v>
      </c>
      <c r="C43" t="s">
        <v>23</v>
      </c>
      <c r="D43">
        <v>68</v>
      </c>
    </row>
    <row r="44" spans="1:4" x14ac:dyDescent="0.25">
      <c r="A44" t="s">
        <v>32</v>
      </c>
      <c r="B44">
        <v>5</v>
      </c>
      <c r="C44" t="s">
        <v>23</v>
      </c>
      <c r="D44">
        <v>68</v>
      </c>
    </row>
    <row r="45" spans="1:4" x14ac:dyDescent="0.25">
      <c r="A45" t="s">
        <v>33</v>
      </c>
      <c r="B45">
        <v>8</v>
      </c>
      <c r="C45" t="s">
        <v>23</v>
      </c>
      <c r="D45">
        <v>68</v>
      </c>
    </row>
    <row r="46" spans="1:4" x14ac:dyDescent="0.25">
      <c r="A46" t="s">
        <v>34</v>
      </c>
      <c r="B46">
        <v>15</v>
      </c>
      <c r="C46" t="s">
        <v>23</v>
      </c>
      <c r="D46">
        <v>68</v>
      </c>
    </row>
    <row r="47" spans="1:4" x14ac:dyDescent="0.25">
      <c r="A47" t="s">
        <v>35</v>
      </c>
      <c r="B47">
        <v>35</v>
      </c>
      <c r="C47" t="s">
        <v>23</v>
      </c>
      <c r="D47">
        <v>68</v>
      </c>
    </row>
    <row r="48" spans="1:4" x14ac:dyDescent="0.25">
      <c r="A48" t="s">
        <v>36</v>
      </c>
      <c r="B48">
        <v>20</v>
      </c>
      <c r="C48" t="s">
        <v>23</v>
      </c>
      <c r="D48">
        <v>68</v>
      </c>
    </row>
    <row r="49" spans="1:4" x14ac:dyDescent="0.25">
      <c r="A49" t="s">
        <v>14</v>
      </c>
      <c r="B49">
        <v>25</v>
      </c>
      <c r="C49" t="s">
        <v>23</v>
      </c>
      <c r="D49">
        <v>68</v>
      </c>
    </row>
    <row r="51" spans="1:4" x14ac:dyDescent="0.25">
      <c r="A51" t="s">
        <v>37</v>
      </c>
      <c r="B51">
        <v>1</v>
      </c>
      <c r="C51" t="s">
        <v>23</v>
      </c>
      <c r="D51">
        <v>72</v>
      </c>
    </row>
    <row r="52" spans="1:4" x14ac:dyDescent="0.25">
      <c r="A52" t="s">
        <v>38</v>
      </c>
      <c r="B52">
        <v>3</v>
      </c>
      <c r="C52" t="s">
        <v>23</v>
      </c>
      <c r="D52">
        <v>72</v>
      </c>
    </row>
    <row r="53" spans="1:4" x14ac:dyDescent="0.25">
      <c r="A53" t="s">
        <v>39</v>
      </c>
      <c r="B53">
        <v>5</v>
      </c>
      <c r="C53" t="s">
        <v>23</v>
      </c>
      <c r="D53">
        <v>72</v>
      </c>
    </row>
    <row r="54" spans="1:4" x14ac:dyDescent="0.25">
      <c r="A54" t="s">
        <v>40</v>
      </c>
      <c r="B54">
        <v>5</v>
      </c>
      <c r="C54" t="s">
        <v>23</v>
      </c>
      <c r="D54">
        <v>72</v>
      </c>
    </row>
    <row r="55" spans="1:4" x14ac:dyDescent="0.25">
      <c r="A55" t="s">
        <v>41</v>
      </c>
      <c r="B55">
        <v>10</v>
      </c>
      <c r="C55" t="s">
        <v>23</v>
      </c>
      <c r="D55">
        <v>72</v>
      </c>
    </row>
    <row r="56" spans="1:4" x14ac:dyDescent="0.25">
      <c r="A56" t="s">
        <v>42</v>
      </c>
      <c r="B56">
        <v>10</v>
      </c>
      <c r="C56" t="s">
        <v>23</v>
      </c>
      <c r="D56">
        <v>72</v>
      </c>
    </row>
    <row r="57" spans="1:4" x14ac:dyDescent="0.25">
      <c r="A57" t="s">
        <v>27</v>
      </c>
      <c r="B57">
        <v>10</v>
      </c>
      <c r="C57" t="s">
        <v>23</v>
      </c>
      <c r="D57">
        <v>72</v>
      </c>
    </row>
    <row r="58" spans="1:4" x14ac:dyDescent="0.25">
      <c r="A58" t="s">
        <v>43</v>
      </c>
      <c r="B58">
        <v>15</v>
      </c>
      <c r="C58" t="s">
        <v>23</v>
      </c>
      <c r="D58">
        <v>72</v>
      </c>
    </row>
    <row r="60" spans="1:4" x14ac:dyDescent="0.25">
      <c r="A60" t="s">
        <v>44</v>
      </c>
      <c r="B60">
        <v>12</v>
      </c>
      <c r="C60" t="s">
        <v>23</v>
      </c>
      <c r="D60">
        <v>33</v>
      </c>
    </row>
    <row r="61" spans="1:4" x14ac:dyDescent="0.25">
      <c r="A61" t="s">
        <v>45</v>
      </c>
      <c r="B61">
        <v>12</v>
      </c>
      <c r="C61" t="s">
        <v>23</v>
      </c>
      <c r="D61">
        <v>33</v>
      </c>
    </row>
    <row r="62" spans="1:4" x14ac:dyDescent="0.25">
      <c r="A62" t="s">
        <v>11</v>
      </c>
      <c r="B62">
        <v>12</v>
      </c>
      <c r="C62" t="s">
        <v>23</v>
      </c>
      <c r="D62">
        <v>33</v>
      </c>
    </row>
    <row r="63" spans="1:4" x14ac:dyDescent="0.25">
      <c r="A63" t="s">
        <v>46</v>
      </c>
      <c r="B63">
        <v>12</v>
      </c>
      <c r="C63" t="s">
        <v>23</v>
      </c>
      <c r="D63">
        <v>33</v>
      </c>
    </row>
    <row r="65" spans="1:4" x14ac:dyDescent="0.25">
      <c r="A65" t="s">
        <v>6</v>
      </c>
      <c r="B65">
        <v>165</v>
      </c>
      <c r="C65" t="s">
        <v>23</v>
      </c>
      <c r="D65">
        <v>57</v>
      </c>
    </row>
    <row r="66" spans="1:4" x14ac:dyDescent="0.25">
      <c r="A66" t="s">
        <v>54</v>
      </c>
      <c r="B66">
        <v>165</v>
      </c>
      <c r="C66" t="str">
        <f>C65</f>
        <v>Tau</v>
      </c>
      <c r="D66">
        <f>D65</f>
        <v>57</v>
      </c>
    </row>
    <row r="68" spans="1:4" x14ac:dyDescent="0.25">
      <c r="A68" t="s">
        <v>55</v>
      </c>
      <c r="B68">
        <v>135</v>
      </c>
      <c r="C68" t="s">
        <v>23</v>
      </c>
      <c r="D68">
        <v>59</v>
      </c>
    </row>
    <row r="69" spans="1:4" x14ac:dyDescent="0.25">
      <c r="A69" t="s">
        <v>56</v>
      </c>
      <c r="B69">
        <v>135</v>
      </c>
      <c r="C69" t="s">
        <v>23</v>
      </c>
      <c r="D69">
        <v>59</v>
      </c>
    </row>
    <row r="71" spans="1:4" x14ac:dyDescent="0.25">
      <c r="A71" t="s">
        <v>57</v>
      </c>
      <c r="B71">
        <v>100</v>
      </c>
      <c r="C71" t="s">
        <v>23</v>
      </c>
      <c r="D71">
        <v>60</v>
      </c>
    </row>
    <row r="73" spans="1:4" x14ac:dyDescent="0.25">
      <c r="A73" t="s">
        <v>58</v>
      </c>
      <c r="B73">
        <v>110</v>
      </c>
      <c r="C73" t="s">
        <v>23</v>
      </c>
      <c r="D73">
        <v>64</v>
      </c>
    </row>
    <row r="75" spans="1:4" x14ac:dyDescent="0.25">
      <c r="A75" t="s">
        <v>62</v>
      </c>
      <c r="B75">
        <v>100</v>
      </c>
      <c r="C75" t="s">
        <v>23</v>
      </c>
      <c r="D75">
        <v>63</v>
      </c>
    </row>
    <row r="77" spans="1:4" x14ac:dyDescent="0.25">
      <c r="A77" t="s">
        <v>59</v>
      </c>
      <c r="B77">
        <v>50</v>
      </c>
      <c r="C77" t="s">
        <v>23</v>
      </c>
      <c r="D77">
        <v>35</v>
      </c>
    </row>
    <row r="79" spans="1:4" x14ac:dyDescent="0.25">
      <c r="A79" t="s">
        <v>60</v>
      </c>
      <c r="B79">
        <v>85</v>
      </c>
      <c r="C79" t="s">
        <v>23</v>
      </c>
      <c r="D79">
        <v>34</v>
      </c>
    </row>
    <row r="81" spans="1:4" x14ac:dyDescent="0.25">
      <c r="A81" t="s">
        <v>61</v>
      </c>
      <c r="B81">
        <v>32</v>
      </c>
      <c r="C81" t="s">
        <v>23</v>
      </c>
      <c r="D81">
        <v>41</v>
      </c>
    </row>
    <row r="83" spans="1:4" x14ac:dyDescent="0.25">
      <c r="A83" t="s">
        <v>64</v>
      </c>
      <c r="B83">
        <v>54</v>
      </c>
      <c r="C83" t="s">
        <v>23</v>
      </c>
      <c r="D83">
        <v>37</v>
      </c>
    </row>
    <row r="84" spans="1:4" x14ac:dyDescent="0.25">
      <c r="A84" t="s">
        <v>65</v>
      </c>
      <c r="B84">
        <v>10</v>
      </c>
      <c r="C84" t="s">
        <v>23</v>
      </c>
      <c r="D84">
        <v>37</v>
      </c>
    </row>
    <row r="85" spans="1:4" x14ac:dyDescent="0.25">
      <c r="A85" t="s">
        <v>66</v>
      </c>
      <c r="B85">
        <v>9</v>
      </c>
      <c r="C85" t="s">
        <v>23</v>
      </c>
      <c r="D85">
        <v>37</v>
      </c>
    </row>
    <row r="86" spans="1:4" x14ac:dyDescent="0.25">
      <c r="A86" t="s">
        <v>67</v>
      </c>
      <c r="B86">
        <v>15</v>
      </c>
      <c r="C86" t="s">
        <v>23</v>
      </c>
      <c r="D86">
        <v>37</v>
      </c>
    </row>
    <row r="87" spans="1:4" x14ac:dyDescent="0.25">
      <c r="A87" t="s">
        <v>68</v>
      </c>
      <c r="B87">
        <v>2</v>
      </c>
      <c r="C87" t="s">
        <v>23</v>
      </c>
      <c r="D87">
        <v>37</v>
      </c>
    </row>
    <row r="88" spans="1:4" x14ac:dyDescent="0.25">
      <c r="A88" t="s">
        <v>69</v>
      </c>
      <c r="B88">
        <v>1</v>
      </c>
      <c r="C88" t="s">
        <v>23</v>
      </c>
      <c r="D88">
        <v>37</v>
      </c>
    </row>
    <row r="90" spans="1:4" x14ac:dyDescent="0.25">
      <c r="A90" t="s">
        <v>70</v>
      </c>
      <c r="B90">
        <v>60</v>
      </c>
      <c r="C90" t="s">
        <v>23</v>
      </c>
      <c r="D90">
        <v>53</v>
      </c>
    </row>
    <row r="91" spans="1:4" x14ac:dyDescent="0.25">
      <c r="A91" t="s">
        <v>81</v>
      </c>
      <c r="B91">
        <v>1</v>
      </c>
      <c r="C91" t="s">
        <v>23</v>
      </c>
      <c r="D91">
        <v>53</v>
      </c>
    </row>
    <row r="93" spans="1:4" x14ac:dyDescent="0.25">
      <c r="A93" t="s">
        <v>74</v>
      </c>
      <c r="B93">
        <v>22</v>
      </c>
      <c r="C93" t="s">
        <v>23</v>
      </c>
      <c r="D93">
        <v>41</v>
      </c>
    </row>
    <row r="94" spans="1:4" x14ac:dyDescent="0.25">
      <c r="A94" t="s">
        <v>75</v>
      </c>
      <c r="B94">
        <v>22</v>
      </c>
      <c r="C94" t="s">
        <v>23</v>
      </c>
      <c r="D94">
        <v>41</v>
      </c>
    </row>
    <row r="95" spans="1:4" x14ac:dyDescent="0.25">
      <c r="A95" t="s">
        <v>76</v>
      </c>
      <c r="B95">
        <v>10</v>
      </c>
      <c r="C95" t="s">
        <v>23</v>
      </c>
      <c r="D95">
        <v>41</v>
      </c>
    </row>
    <row r="97" spans="1:4" x14ac:dyDescent="0.25">
      <c r="A97" t="s">
        <v>77</v>
      </c>
      <c r="B97">
        <v>44</v>
      </c>
      <c r="C97" t="s">
        <v>23</v>
      </c>
      <c r="D97">
        <v>38</v>
      </c>
    </row>
    <row r="98" spans="1:4" x14ac:dyDescent="0.25">
      <c r="A98" t="s">
        <v>78</v>
      </c>
      <c r="B98">
        <v>11</v>
      </c>
      <c r="C98" t="s">
        <v>23</v>
      </c>
      <c r="D98">
        <v>38</v>
      </c>
    </row>
    <row r="99" spans="1:4" x14ac:dyDescent="0.25">
      <c r="A99" t="s">
        <v>79</v>
      </c>
      <c r="B99">
        <v>10</v>
      </c>
      <c r="C99" t="s">
        <v>23</v>
      </c>
      <c r="D99">
        <v>38</v>
      </c>
    </row>
    <row r="100" spans="1:4" x14ac:dyDescent="0.25">
      <c r="A100" t="s">
        <v>80</v>
      </c>
      <c r="B100">
        <v>15</v>
      </c>
      <c r="C100" t="s">
        <v>23</v>
      </c>
      <c r="D100">
        <v>38</v>
      </c>
    </row>
    <row r="102" spans="1:4" x14ac:dyDescent="0.25">
      <c r="A102" t="s">
        <v>83</v>
      </c>
      <c r="B102">
        <v>100</v>
      </c>
      <c r="C102" t="s">
        <v>84</v>
      </c>
      <c r="D102">
        <v>56</v>
      </c>
    </row>
    <row r="103" spans="1:4" x14ac:dyDescent="0.25">
      <c r="A103" t="s">
        <v>85</v>
      </c>
      <c r="B103">
        <v>25</v>
      </c>
      <c r="C103" t="s">
        <v>84</v>
      </c>
      <c r="D103">
        <v>56</v>
      </c>
    </row>
    <row r="104" spans="1:4" x14ac:dyDescent="0.25">
      <c r="A104" t="s">
        <v>87</v>
      </c>
      <c r="B104">
        <v>0</v>
      </c>
      <c r="C104" t="s">
        <v>84</v>
      </c>
      <c r="D104">
        <v>56</v>
      </c>
    </row>
    <row r="105" spans="1:4" x14ac:dyDescent="0.25">
      <c r="A105" t="s">
        <v>86</v>
      </c>
      <c r="B105">
        <v>0</v>
      </c>
      <c r="C105" t="s">
        <v>84</v>
      </c>
      <c r="D105">
        <v>56</v>
      </c>
    </row>
    <row r="107" spans="1:4" x14ac:dyDescent="0.25">
      <c r="A107" t="s">
        <v>88</v>
      </c>
      <c r="B107">
        <v>75</v>
      </c>
      <c r="C107" t="s">
        <v>84</v>
      </c>
      <c r="D107">
        <v>66</v>
      </c>
    </row>
    <row r="108" spans="1:4" x14ac:dyDescent="0.25">
      <c r="A108" t="s">
        <v>89</v>
      </c>
      <c r="B108">
        <v>10</v>
      </c>
      <c r="C108" t="s">
        <v>84</v>
      </c>
      <c r="D108">
        <v>66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89</vt:i4>
      </vt:variant>
    </vt:vector>
  </HeadingPairs>
  <TitlesOfParts>
    <vt:vector size="92" baseType="lpstr">
      <vt:lpstr>ArmyList</vt:lpstr>
      <vt:lpstr>variables</vt:lpstr>
      <vt:lpstr>Sheet3</vt:lpstr>
      <vt:lpstr>AdvancedTargetingSystem</vt:lpstr>
      <vt:lpstr>AirburstingFragmentationProjector</vt:lpstr>
      <vt:lpstr>AunShi</vt:lpstr>
      <vt:lpstr>Aunva</vt:lpstr>
      <vt:lpstr>AutomatedRepairSystem</vt:lpstr>
      <vt:lpstr>Blacksunfilter</vt:lpstr>
      <vt:lpstr>BondingknifeForFireWarrior</vt:lpstr>
      <vt:lpstr>Burstcannon</vt:lpstr>
      <vt:lpstr>BurstcannonSingleRangedWeapons</vt:lpstr>
      <vt:lpstr>BurstcannonTwinLinked</vt:lpstr>
      <vt:lpstr>CommandAndControlNode</vt:lpstr>
      <vt:lpstr>Commander</vt:lpstr>
      <vt:lpstr>CommanderFarsight</vt:lpstr>
      <vt:lpstr>CommanderShadowsun</vt:lpstr>
      <vt:lpstr>CounterfireDefenceSystem</vt:lpstr>
      <vt:lpstr>CrisisBattlesuit</vt:lpstr>
      <vt:lpstr>CrisisShasUi</vt:lpstr>
      <vt:lpstr>CrisisShasVre</vt:lpstr>
      <vt:lpstr>CyclicIonBlaster</vt:lpstr>
      <vt:lpstr>CyclicIonBlasterTwinLinked</vt:lpstr>
      <vt:lpstr>Darkstrider</vt:lpstr>
      <vt:lpstr>Darstrider</vt:lpstr>
      <vt:lpstr>Decoylaunchers</vt:lpstr>
      <vt:lpstr>DisruptionPod</vt:lpstr>
      <vt:lpstr>DroneController</vt:lpstr>
      <vt:lpstr>EarlyWarningOverride</vt:lpstr>
      <vt:lpstr>EMPgrenadesForFireWarrior</vt:lpstr>
      <vt:lpstr>Ethereal</vt:lpstr>
      <vt:lpstr>FailsafeDetonator</vt:lpstr>
      <vt:lpstr>Farsight</vt:lpstr>
      <vt:lpstr>FireWarrior</vt:lpstr>
      <vt:lpstr>FireWarriorShasUiupgrade</vt:lpstr>
      <vt:lpstr>FireWarriorTeam6xFireWarrior</vt:lpstr>
      <vt:lpstr>Flamer</vt:lpstr>
      <vt:lpstr>FlamerSingleRangedWeapons</vt:lpstr>
      <vt:lpstr>FlamerTau</vt:lpstr>
      <vt:lpstr>FlamerTwinLinked</vt:lpstr>
      <vt:lpstr>FlamerTwinLinkedRangedWeapons</vt:lpstr>
      <vt:lpstr>FlamertwinlinkedTau</vt:lpstr>
      <vt:lpstr>FlechetteDischarger</vt:lpstr>
      <vt:lpstr>FusionBlaster</vt:lpstr>
      <vt:lpstr>FusionBlasterTwinLinked</vt:lpstr>
      <vt:lpstr>GunDrone</vt:lpstr>
      <vt:lpstr>HeavyBolterWithHellfireShellsForScoutSquad</vt:lpstr>
      <vt:lpstr>IonRifleForPathfinderTeam</vt:lpstr>
      <vt:lpstr>JumpPackForSpaceMarineLibrarian</vt:lpstr>
      <vt:lpstr>KrootCarnivoreSquad10xKroot</vt:lpstr>
      <vt:lpstr>MarkerDrone</vt:lpstr>
      <vt:lpstr>MarkerlightandtargetlockForFireWarriorShasUi</vt:lpstr>
      <vt:lpstr>MissileDrone</vt:lpstr>
      <vt:lpstr>MissilePod</vt:lpstr>
      <vt:lpstr>MissilePodTwinLinked</vt:lpstr>
      <vt:lpstr>MultiSpectrumSensorSuite</vt:lpstr>
      <vt:lpstr>MultispecturemSensorSuite</vt:lpstr>
      <vt:lpstr>NeurowebSystemJammer</vt:lpstr>
      <vt:lpstr>NullZoneForSpaceMarineLibrarian</vt:lpstr>
      <vt:lpstr>OnagerGauntlet</vt:lpstr>
      <vt:lpstr>PathfinderForPathfinderTeam</vt:lpstr>
      <vt:lpstr>PathfinderTeam4xpathfinder</vt:lpstr>
      <vt:lpstr>PlasmaRifle</vt:lpstr>
      <vt:lpstr>PlasmaRifleTwinLinked</vt:lpstr>
      <vt:lpstr>PointDefenceTargetingRelay</vt:lpstr>
      <vt:lpstr>PositionalRelay</vt:lpstr>
      <vt:lpstr>PuretideEngramNeurochip</vt:lpstr>
      <vt:lpstr>RailRifleForPathfinderTeam</vt:lpstr>
      <vt:lpstr>RepulsorImpactField</vt:lpstr>
      <vt:lpstr>ScoutSquad4xMarineScouts1xSqt</vt:lpstr>
      <vt:lpstr>SensorSpines</vt:lpstr>
      <vt:lpstr>Shadowsun</vt:lpstr>
      <vt:lpstr>ShasuiForXV8CrisisTeam</vt:lpstr>
      <vt:lpstr>ShasVreUpgrade</vt:lpstr>
      <vt:lpstr>ShasVreUpgradeForXV8CrisisTeam</vt:lpstr>
      <vt:lpstr>ShieldDrone</vt:lpstr>
      <vt:lpstr>ShieldGenerator</vt:lpstr>
      <vt:lpstr>SniperRoundsForKrootRifle</vt:lpstr>
      <vt:lpstr>SpaceMarineLibrarian</vt:lpstr>
      <vt:lpstr>StimulantInjector</vt:lpstr>
      <vt:lpstr>StimulantInjectorRiptide</vt:lpstr>
      <vt:lpstr>TargetLock</vt:lpstr>
      <vt:lpstr>TheGateOfInfinityForSpaceMarineLibrarian</vt:lpstr>
      <vt:lpstr>VectoredRetroThrusters</vt:lpstr>
      <vt:lpstr>VelocityTracker</vt:lpstr>
      <vt:lpstr>whName</vt:lpstr>
      <vt:lpstr>whNames</vt:lpstr>
      <vt:lpstr>whPages</vt:lpstr>
      <vt:lpstr>whPrice</vt:lpstr>
      <vt:lpstr>XV802CrisisIridiumBattlesuit</vt:lpstr>
      <vt:lpstr>XV8CrisisBodyGuardTeam</vt:lpstr>
      <vt:lpstr>XV8CrisisTeam1xShasui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jko</dc:creator>
  <cp:lastModifiedBy>jko</cp:lastModifiedBy>
  <cp:lastPrinted>2013-04-13T17:43:43Z</cp:lastPrinted>
  <dcterms:created xsi:type="dcterms:W3CDTF">2013-04-13T12:27:47Z</dcterms:created>
  <dcterms:modified xsi:type="dcterms:W3CDTF">2013-04-13T17:43:47Z</dcterms:modified>
</cp:coreProperties>
</file>